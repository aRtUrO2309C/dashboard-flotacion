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codeName="{52B413DB-416B-A148-0A32-6202AF4EA34E}"/>
  <workbookPr codeName="ThisWorkbook" defaultThemeVersion="166925"/>
  <mc:AlternateContent xmlns:mc="http://schemas.openxmlformats.org/markup-compatibility/2006">
    <mc:Choice Requires="x15">
      <x15ac:absPath xmlns:x15ac="http://schemas.microsoft.com/office/spreadsheetml/2010/11/ac" url="/Users/jorgearturodelacruzcoaquira/Documents/Compañia Minera Sol de Casma/CMSDC/Graficas de Planta en Python/Dashboard_KPI_Flotacion/"/>
    </mc:Choice>
  </mc:AlternateContent>
  <xr:revisionPtr revIDLastSave="0" documentId="13_ncr:1_{B998DF0C-C8A7-E04E-91D7-727BB11D0F89}" xr6:coauthVersionLast="47" xr6:coauthVersionMax="47" xr10:uidLastSave="{00000000-0000-0000-0000-000000000000}"/>
  <bookViews>
    <workbookView xWindow="0" yWindow="660" windowWidth="30240" windowHeight="18980" xr2:uid="{FB0DABDF-A8E4-C945-A648-102F51375EC5}"/>
  </bookViews>
  <sheets>
    <sheet name="Analisis Sulfuros por Guardia"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TV17" i="1" l="1"/>
  <c r="TW17" i="1"/>
  <c r="TW21" i="1" l="1"/>
  <c r="TY21" i="1"/>
  <c r="UA21" i="1"/>
  <c r="UC21" i="1"/>
  <c r="UE21" i="1"/>
  <c r="UG21" i="1"/>
  <c r="UI21" i="1"/>
  <c r="UK21" i="1"/>
  <c r="UM21" i="1"/>
  <c r="UO21" i="1"/>
  <c r="UQ21" i="1"/>
  <c r="US21" i="1"/>
  <c r="UU21" i="1"/>
  <c r="UW21" i="1"/>
  <c r="UY21" i="1"/>
  <c r="TW22" i="1"/>
  <c r="TW25" i="1" s="1"/>
  <c r="TY22" i="1"/>
  <c r="TY25" i="1" s="1"/>
  <c r="UA22" i="1"/>
  <c r="UA25" i="1" s="1"/>
  <c r="UC22" i="1"/>
  <c r="UE22" i="1"/>
  <c r="UG22" i="1"/>
  <c r="UI22" i="1"/>
  <c r="UK22" i="1"/>
  <c r="UM22" i="1"/>
  <c r="UO22" i="1"/>
  <c r="UQ22" i="1"/>
  <c r="UQ25" i="1" s="1"/>
  <c r="US22" i="1"/>
  <c r="US25" i="1" s="1"/>
  <c r="UU22" i="1"/>
  <c r="UU25" i="1" s="1"/>
  <c r="UW22" i="1"/>
  <c r="UY22" i="1"/>
  <c r="TW23" i="1"/>
  <c r="TY23" i="1"/>
  <c r="UA23" i="1"/>
  <c r="UC23" i="1"/>
  <c r="UE23" i="1"/>
  <c r="UG23" i="1"/>
  <c r="UG25" i="1" s="1"/>
  <c r="UI23" i="1"/>
  <c r="UI25" i="1" s="1"/>
  <c r="UK23" i="1"/>
  <c r="UK25" i="1" s="1"/>
  <c r="UM23" i="1"/>
  <c r="UO23" i="1"/>
  <c r="UQ23" i="1"/>
  <c r="US23" i="1"/>
  <c r="UU23" i="1"/>
  <c r="UW23" i="1"/>
  <c r="UY23" i="1"/>
  <c r="TW24" i="1"/>
  <c r="TY24" i="1"/>
  <c r="UA24" i="1"/>
  <c r="UC24" i="1"/>
  <c r="UE24" i="1"/>
  <c r="UG24" i="1"/>
  <c r="UI24" i="1"/>
  <c r="UK24" i="1"/>
  <c r="UM24" i="1"/>
  <c r="UO24" i="1"/>
  <c r="UQ24" i="1"/>
  <c r="US24" i="1"/>
  <c r="UU24" i="1"/>
  <c r="UW24" i="1"/>
  <c r="UY24" i="1"/>
  <c r="TV25" i="1"/>
  <c r="TX25" i="1"/>
  <c r="TZ25" i="1"/>
  <c r="UB25" i="1"/>
  <c r="UC25" i="1"/>
  <c r="UD25" i="1"/>
  <c r="UE25" i="1"/>
  <c r="UF25" i="1"/>
  <c r="UH25" i="1"/>
  <c r="UJ25" i="1"/>
  <c r="UL25" i="1"/>
  <c r="UM25" i="1"/>
  <c r="UN25" i="1"/>
  <c r="UO25" i="1"/>
  <c r="UP25" i="1"/>
  <c r="UR25" i="1"/>
  <c r="UT25" i="1"/>
  <c r="UV25" i="1"/>
  <c r="UW25" i="1"/>
  <c r="UX25" i="1"/>
  <c r="UY25" i="1"/>
  <c r="UH10" i="1"/>
  <c r="UJ10" i="1" s="1"/>
  <c r="UL10" i="1" s="1"/>
  <c r="UN10" i="1" s="1"/>
  <c r="UP10" i="1" s="1"/>
  <c r="UR10" i="1" s="1"/>
  <c r="UT10" i="1" s="1"/>
  <c r="UV10" i="1" s="1"/>
  <c r="UX10" i="1" s="1"/>
  <c r="UI13" i="1"/>
  <c r="UK13" i="1"/>
  <c r="UM13" i="1"/>
  <c r="UO13" i="1"/>
  <c r="UQ13" i="1"/>
  <c r="US13" i="1"/>
  <c r="UU13" i="1"/>
  <c r="UW13" i="1"/>
  <c r="UY13" i="1"/>
  <c r="UI14" i="1"/>
  <c r="UK14" i="1"/>
  <c r="UM14" i="1"/>
  <c r="UO14" i="1"/>
  <c r="UQ14" i="1"/>
  <c r="US14" i="1"/>
  <c r="UU14" i="1"/>
  <c r="UW14" i="1"/>
  <c r="UY14" i="1"/>
  <c r="UI15" i="1"/>
  <c r="UI17" i="1" s="1"/>
  <c r="UK15" i="1"/>
  <c r="UM15" i="1"/>
  <c r="UM17" i="1" s="1"/>
  <c r="UO15" i="1"/>
  <c r="UQ15" i="1"/>
  <c r="US15" i="1"/>
  <c r="UU15" i="1"/>
  <c r="UW15" i="1"/>
  <c r="UW17" i="1" s="1"/>
  <c r="UY15" i="1"/>
  <c r="UY17" i="1" s="1"/>
  <c r="UI16" i="1"/>
  <c r="UK16" i="1"/>
  <c r="UM16" i="1"/>
  <c r="UO16" i="1"/>
  <c r="UO17" i="1" s="1"/>
  <c r="UQ16" i="1"/>
  <c r="US16" i="1"/>
  <c r="UU16" i="1"/>
  <c r="UW16" i="1"/>
  <c r="UY16" i="1"/>
  <c r="UH17" i="1"/>
  <c r="UJ17" i="1"/>
  <c r="UK17" i="1"/>
  <c r="UL17" i="1"/>
  <c r="UN17" i="1"/>
  <c r="UP17" i="1"/>
  <c r="UQ17" i="1"/>
  <c r="UR17" i="1"/>
  <c r="US17" i="1"/>
  <c r="UT17" i="1"/>
  <c r="UU17" i="1"/>
  <c r="UV17" i="1"/>
  <c r="UX17" i="1"/>
  <c r="TV10" i="1"/>
  <c r="TX10" i="1" s="1"/>
  <c r="TZ10" i="1" s="1"/>
  <c r="UB10" i="1" s="1"/>
  <c r="UD10" i="1" s="1"/>
  <c r="UF10" i="1" s="1"/>
  <c r="TW13" i="1"/>
  <c r="TY13" i="1"/>
  <c r="UA13" i="1"/>
  <c r="UC13" i="1"/>
  <c r="UE13" i="1"/>
  <c r="UG13" i="1"/>
  <c r="TW14" i="1"/>
  <c r="TY14" i="1"/>
  <c r="UA14" i="1"/>
  <c r="UC14" i="1"/>
  <c r="UE14" i="1"/>
  <c r="UG14" i="1"/>
  <c r="TW15" i="1"/>
  <c r="TY15" i="1"/>
  <c r="TY17" i="1" s="1"/>
  <c r="UA15" i="1"/>
  <c r="UC15" i="1"/>
  <c r="UE15" i="1"/>
  <c r="UG15" i="1"/>
  <c r="UG17" i="1" s="1"/>
  <c r="TW16" i="1"/>
  <c r="TY16" i="1"/>
  <c r="UA16" i="1"/>
  <c r="UA17" i="1" s="1"/>
  <c r="UC16" i="1"/>
  <c r="UE16" i="1"/>
  <c r="UG16" i="1"/>
  <c r="TX17" i="1"/>
  <c r="TZ17" i="1"/>
  <c r="UB17" i="1"/>
  <c r="UC17" i="1"/>
  <c r="UD17" i="1"/>
  <c r="UE17" i="1"/>
  <c r="UF17" i="1"/>
  <c r="TI17" i="1"/>
  <c r="TJ17" i="1"/>
  <c r="TL17" i="1"/>
  <c r="TN17" i="1"/>
  <c r="TP17" i="1"/>
  <c r="TR17" i="1"/>
  <c r="TT17" i="1"/>
  <c r="TG17" i="1"/>
  <c r="TH17" i="1"/>
  <c r="TB17" i="1"/>
  <c r="TC17" i="1"/>
  <c r="TD17" i="1"/>
  <c r="TE17" i="1"/>
  <c r="TF17" i="1"/>
  <c r="SS17" i="1"/>
  <c r="ST17" i="1"/>
  <c r="SU17" i="1"/>
  <c r="SV17" i="1"/>
  <c r="SX17" i="1"/>
  <c r="SZ17" i="1"/>
  <c r="SR25" i="1"/>
  <c r="SQ17" i="1"/>
  <c r="SR17" i="1"/>
  <c r="RU17" i="1" l="1"/>
  <c r="RV17" i="1"/>
  <c r="RW17" i="1"/>
  <c r="RX17" i="1"/>
  <c r="RY17" i="1"/>
  <c r="RZ17" i="1"/>
  <c r="SA17" i="1"/>
  <c r="SB17" i="1"/>
  <c r="SC17" i="1"/>
  <c r="SD17" i="1"/>
  <c r="SE17" i="1"/>
  <c r="SF17" i="1"/>
  <c r="SG17" i="1"/>
  <c r="SH17" i="1"/>
  <c r="SI17" i="1"/>
  <c r="SJ17" i="1"/>
  <c r="SK17" i="1"/>
  <c r="SL17" i="1"/>
  <c r="SM17" i="1"/>
  <c r="SN17" i="1"/>
  <c r="SO17" i="1"/>
  <c r="SP17"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U25" i="1"/>
  <c r="CV25" i="1"/>
  <c r="CW25" i="1"/>
  <c r="CX25" i="1"/>
  <c r="CY25" i="1"/>
  <c r="CZ25" i="1"/>
  <c r="DA25" i="1"/>
  <c r="DB25" i="1"/>
  <c r="DC25" i="1"/>
  <c r="DD25" i="1"/>
  <c r="DE25" i="1"/>
  <c r="DF25" i="1"/>
  <c r="DG25" i="1"/>
  <c r="DH25" i="1"/>
  <c r="DI25" i="1"/>
  <c r="DJ25" i="1"/>
  <c r="DK25" i="1"/>
  <c r="DL25" i="1"/>
  <c r="DM25" i="1"/>
  <c r="DN25" i="1"/>
  <c r="DO25" i="1"/>
  <c r="DP25" i="1"/>
  <c r="DQ25" i="1"/>
  <c r="DR25" i="1"/>
  <c r="DS25" i="1"/>
  <c r="DT25" i="1"/>
  <c r="DU25" i="1"/>
  <c r="DV25" i="1"/>
  <c r="DW25" i="1"/>
  <c r="DX25" i="1"/>
  <c r="DY25" i="1"/>
  <c r="DZ25" i="1"/>
  <c r="EA25" i="1"/>
  <c r="EB25" i="1"/>
  <c r="EC25" i="1"/>
  <c r="ED25" i="1"/>
  <c r="EE25" i="1"/>
  <c r="EF25" i="1"/>
  <c r="EG25" i="1"/>
  <c r="EH25" i="1"/>
  <c r="EI25" i="1"/>
  <c r="EJ25" i="1"/>
  <c r="EK25" i="1"/>
  <c r="EL25" i="1"/>
  <c r="EM25" i="1"/>
  <c r="EN25" i="1"/>
  <c r="EO25" i="1"/>
  <c r="EP25" i="1"/>
  <c r="EQ25" i="1"/>
  <c r="ER25" i="1"/>
  <c r="ES25" i="1"/>
  <c r="ET25" i="1"/>
  <c r="EU25" i="1"/>
  <c r="EV25" i="1"/>
  <c r="EW25" i="1"/>
  <c r="EX25" i="1"/>
  <c r="EY25" i="1"/>
  <c r="EZ25" i="1"/>
  <c r="FA25" i="1"/>
  <c r="FB25" i="1"/>
  <c r="FC25" i="1"/>
  <c r="FD25" i="1"/>
  <c r="FE25" i="1"/>
  <c r="FF25" i="1"/>
  <c r="FG25" i="1"/>
  <c r="FH25" i="1"/>
  <c r="FI25" i="1"/>
  <c r="FJ25" i="1"/>
  <c r="FK25" i="1"/>
  <c r="FL25" i="1"/>
  <c r="FM25" i="1"/>
  <c r="FN25" i="1"/>
  <c r="FO25" i="1"/>
  <c r="FP25" i="1"/>
  <c r="FQ25" i="1"/>
  <c r="FR25" i="1"/>
  <c r="FS25" i="1"/>
  <c r="FT25" i="1"/>
  <c r="FU25" i="1"/>
  <c r="FV25" i="1"/>
  <c r="FW25" i="1"/>
  <c r="FX25" i="1"/>
  <c r="FY25" i="1"/>
  <c r="FZ25" i="1"/>
  <c r="GA25" i="1"/>
  <c r="GB25" i="1"/>
  <c r="GC25" i="1"/>
  <c r="GD25" i="1"/>
  <c r="GE25" i="1"/>
  <c r="GF25" i="1"/>
  <c r="GG25" i="1"/>
  <c r="GH25" i="1"/>
  <c r="GI25" i="1"/>
  <c r="GJ25" i="1"/>
  <c r="GK25" i="1"/>
  <c r="GL25" i="1"/>
  <c r="GM25" i="1"/>
  <c r="GN25" i="1"/>
  <c r="GO25" i="1"/>
  <c r="GP25" i="1"/>
  <c r="GQ25" i="1"/>
  <c r="GR25" i="1"/>
  <c r="GS25" i="1"/>
  <c r="GT25" i="1"/>
  <c r="GU25" i="1"/>
  <c r="GV25" i="1"/>
  <c r="GW25" i="1"/>
  <c r="GX25" i="1"/>
  <c r="GY25" i="1"/>
  <c r="GZ25" i="1"/>
  <c r="HA25" i="1"/>
  <c r="HB25" i="1"/>
  <c r="HC25" i="1"/>
  <c r="HD25" i="1"/>
  <c r="HE25" i="1"/>
  <c r="HF25" i="1"/>
  <c r="HG25" i="1"/>
  <c r="HH25" i="1"/>
  <c r="HI25" i="1"/>
  <c r="HJ25" i="1"/>
  <c r="HK25" i="1"/>
  <c r="HL25" i="1"/>
  <c r="HM25" i="1"/>
  <c r="HN25" i="1"/>
  <c r="HO25" i="1"/>
  <c r="HP25" i="1"/>
  <c r="HQ25" i="1"/>
  <c r="HR25" i="1"/>
  <c r="HS25" i="1"/>
  <c r="HT25" i="1"/>
  <c r="HU25" i="1"/>
  <c r="HV25" i="1"/>
  <c r="HW25" i="1"/>
  <c r="HX25" i="1"/>
  <c r="HY25" i="1"/>
  <c r="HZ25" i="1"/>
  <c r="IA25" i="1"/>
  <c r="IB25" i="1"/>
  <c r="IC25" i="1"/>
  <c r="ID25" i="1"/>
  <c r="IE25" i="1"/>
  <c r="IF25" i="1"/>
  <c r="IG25" i="1"/>
  <c r="IH25" i="1"/>
  <c r="II25" i="1"/>
  <c r="IJ25" i="1"/>
  <c r="IK25" i="1"/>
  <c r="IL25" i="1"/>
  <c r="IM25" i="1"/>
  <c r="IN25" i="1"/>
  <c r="IO25" i="1"/>
  <c r="IP25" i="1"/>
  <c r="IQ25" i="1"/>
  <c r="IR25" i="1"/>
  <c r="IS25" i="1"/>
  <c r="IT25" i="1"/>
  <c r="IU25" i="1"/>
  <c r="IV25" i="1"/>
  <c r="IW25" i="1"/>
  <c r="IX25" i="1"/>
  <c r="IY25" i="1"/>
  <c r="IZ25" i="1"/>
  <c r="JA25" i="1"/>
  <c r="JB25" i="1"/>
  <c r="JC25" i="1"/>
  <c r="JD25" i="1"/>
  <c r="JE25" i="1"/>
  <c r="JF25" i="1"/>
  <c r="JG25" i="1"/>
  <c r="JH25" i="1"/>
  <c r="JI25" i="1"/>
  <c r="JJ25" i="1"/>
  <c r="JK25" i="1"/>
  <c r="JL25" i="1"/>
  <c r="JM25" i="1"/>
  <c r="JN25" i="1"/>
  <c r="JO25" i="1"/>
  <c r="JP25" i="1"/>
  <c r="JQ25" i="1"/>
  <c r="JR25" i="1"/>
  <c r="JS25" i="1"/>
  <c r="JT25" i="1"/>
  <c r="JU25" i="1"/>
  <c r="JV25" i="1"/>
  <c r="JW25" i="1"/>
  <c r="JX25" i="1"/>
  <c r="JY25" i="1"/>
  <c r="JZ25" i="1"/>
  <c r="KA25" i="1"/>
  <c r="KB25" i="1"/>
  <c r="KC25" i="1"/>
  <c r="KD25" i="1"/>
  <c r="KE25" i="1"/>
  <c r="KF25" i="1"/>
  <c r="KG25" i="1"/>
  <c r="KH25" i="1"/>
  <c r="KI25" i="1"/>
  <c r="KJ25" i="1"/>
  <c r="KK25" i="1"/>
  <c r="KL25" i="1"/>
  <c r="KM25" i="1"/>
  <c r="KN25" i="1"/>
  <c r="KO25" i="1"/>
  <c r="KP25" i="1"/>
  <c r="KQ25" i="1"/>
  <c r="KR25" i="1"/>
  <c r="KS25" i="1"/>
  <c r="KT25" i="1"/>
  <c r="KU25" i="1"/>
  <c r="KV25" i="1"/>
  <c r="KW25" i="1"/>
  <c r="KX25" i="1"/>
  <c r="KY25" i="1"/>
  <c r="KZ25" i="1"/>
  <c r="LA25" i="1"/>
  <c r="LB25" i="1"/>
  <c r="LC25" i="1"/>
  <c r="LD25" i="1"/>
  <c r="LE25" i="1"/>
  <c r="LF25" i="1"/>
  <c r="LG25" i="1"/>
  <c r="LH25" i="1"/>
  <c r="LI25" i="1"/>
  <c r="LJ25" i="1"/>
  <c r="LK25" i="1"/>
  <c r="LL25" i="1"/>
  <c r="LM25" i="1"/>
  <c r="LN25" i="1"/>
  <c r="LO25" i="1"/>
  <c r="LP25" i="1"/>
  <c r="LQ25" i="1"/>
  <c r="LR25" i="1"/>
  <c r="LS25" i="1"/>
  <c r="LT25" i="1"/>
  <c r="LU25" i="1"/>
  <c r="LV25" i="1"/>
  <c r="LW25" i="1"/>
  <c r="LX25" i="1"/>
  <c r="LY25" i="1"/>
  <c r="LZ25" i="1"/>
  <c r="MA25" i="1"/>
  <c r="MB25" i="1"/>
  <c r="MC25" i="1"/>
  <c r="MD25" i="1"/>
  <c r="ME25" i="1"/>
  <c r="MF25" i="1"/>
  <c r="MG25" i="1"/>
  <c r="MH25" i="1"/>
  <c r="MI25" i="1"/>
  <c r="MJ25" i="1"/>
  <c r="MK25" i="1"/>
  <c r="ML25" i="1"/>
  <c r="MM25" i="1"/>
  <c r="MN25" i="1"/>
  <c r="MO25" i="1"/>
  <c r="MP25" i="1"/>
  <c r="MQ25" i="1"/>
  <c r="MR25" i="1"/>
  <c r="MS25" i="1"/>
  <c r="MT25" i="1"/>
  <c r="MU25" i="1"/>
  <c r="MV25" i="1"/>
  <c r="MW25" i="1"/>
  <c r="MX25" i="1"/>
  <c r="MY25" i="1"/>
  <c r="MZ25" i="1"/>
  <c r="NA25" i="1"/>
  <c r="NB25" i="1"/>
  <c r="NC25" i="1"/>
  <c r="ND25" i="1"/>
  <c r="NE25" i="1"/>
  <c r="NF25" i="1"/>
  <c r="NG25" i="1"/>
  <c r="NH25" i="1"/>
  <c r="NI25" i="1"/>
  <c r="NJ25" i="1"/>
  <c r="NK25" i="1"/>
  <c r="NL25" i="1"/>
  <c r="NM25" i="1"/>
  <c r="NN25" i="1"/>
  <c r="NO25" i="1"/>
  <c r="NP25" i="1"/>
  <c r="NQ25" i="1"/>
  <c r="NR25" i="1"/>
  <c r="NS25" i="1"/>
  <c r="NT25" i="1"/>
  <c r="NU25" i="1"/>
  <c r="NV25" i="1"/>
  <c r="NW25" i="1"/>
  <c r="NX25" i="1"/>
  <c r="NY25" i="1"/>
  <c r="NZ25" i="1"/>
  <c r="OA25" i="1"/>
  <c r="OB25" i="1"/>
  <c r="OC25" i="1"/>
  <c r="OD25" i="1"/>
  <c r="OE25" i="1"/>
  <c r="OF25" i="1"/>
  <c r="OG25" i="1"/>
  <c r="OH25" i="1"/>
  <c r="OI25" i="1"/>
  <c r="OJ25" i="1"/>
  <c r="OK25" i="1"/>
  <c r="OL25" i="1"/>
  <c r="OM25" i="1"/>
  <c r="ON25" i="1"/>
  <c r="OO25" i="1"/>
  <c r="OP25" i="1"/>
  <c r="OQ25" i="1"/>
  <c r="OR25" i="1"/>
  <c r="OS25" i="1"/>
  <c r="OT25" i="1"/>
  <c r="OU25" i="1"/>
  <c r="OV25" i="1"/>
  <c r="OW25" i="1"/>
  <c r="OX25" i="1"/>
  <c r="OY25" i="1"/>
  <c r="OZ25" i="1"/>
  <c r="PA25" i="1"/>
  <c r="PB25" i="1"/>
  <c r="PC25" i="1"/>
  <c r="PD25" i="1"/>
  <c r="PE25" i="1"/>
  <c r="PF25" i="1"/>
  <c r="PG25" i="1"/>
  <c r="PH25" i="1"/>
  <c r="PI25" i="1"/>
  <c r="PJ25" i="1"/>
  <c r="PK25" i="1"/>
  <c r="PL25" i="1"/>
  <c r="PM25" i="1"/>
  <c r="PN25" i="1"/>
  <c r="PO25" i="1"/>
  <c r="PP25" i="1"/>
  <c r="PQ25" i="1"/>
  <c r="PR25" i="1"/>
  <c r="PS25" i="1"/>
  <c r="PT25" i="1"/>
  <c r="PU25" i="1"/>
  <c r="PV25" i="1"/>
  <c r="PW25" i="1"/>
  <c r="PX25" i="1"/>
  <c r="PY25" i="1"/>
  <c r="PZ25" i="1"/>
  <c r="QA25" i="1"/>
  <c r="QB25" i="1"/>
  <c r="QC25" i="1"/>
  <c r="QD25" i="1"/>
  <c r="QE25" i="1"/>
  <c r="QF25" i="1"/>
  <c r="QG25" i="1"/>
  <c r="QH25" i="1"/>
  <c r="QI25" i="1"/>
  <c r="QJ25" i="1"/>
  <c r="QK25" i="1"/>
  <c r="QL25" i="1"/>
  <c r="QM25" i="1"/>
  <c r="QN25" i="1"/>
  <c r="QO25" i="1"/>
  <c r="QP25" i="1"/>
  <c r="QQ25" i="1"/>
  <c r="QR25" i="1"/>
  <c r="QS25" i="1"/>
  <c r="QT25" i="1"/>
  <c r="QU25" i="1"/>
  <c r="QV25" i="1"/>
  <c r="QW25" i="1"/>
  <c r="QX25" i="1"/>
  <c r="QY25" i="1"/>
  <c r="QZ25" i="1"/>
  <c r="RA25" i="1"/>
  <c r="RB25" i="1"/>
  <c r="RC25" i="1"/>
  <c r="RD25" i="1"/>
  <c r="RE25" i="1"/>
  <c r="RF25" i="1"/>
  <c r="RG25" i="1"/>
  <c r="RH25" i="1"/>
  <c r="RI25" i="1"/>
  <c r="RJ25" i="1"/>
  <c r="RK25" i="1"/>
  <c r="RL25" i="1"/>
  <c r="RM25" i="1"/>
  <c r="RN25" i="1"/>
  <c r="RO25" i="1"/>
  <c r="RP25" i="1"/>
  <c r="RQ25" i="1"/>
  <c r="RR25" i="1"/>
  <c r="RS25" i="1"/>
  <c r="RT25" i="1"/>
  <c r="RU25" i="1"/>
  <c r="RV25" i="1"/>
  <c r="RW25" i="1"/>
  <c r="RX25" i="1"/>
  <c r="RY25" i="1"/>
  <c r="RZ25" i="1"/>
  <c r="SA25" i="1"/>
  <c r="SB25" i="1"/>
  <c r="SC25" i="1"/>
  <c r="SD25" i="1"/>
  <c r="SE25" i="1"/>
  <c r="SF25" i="1"/>
  <c r="SG25" i="1"/>
  <c r="SH25" i="1"/>
  <c r="SI25" i="1"/>
  <c r="SJ25" i="1"/>
  <c r="SK25" i="1"/>
  <c r="SL25" i="1"/>
  <c r="SM25" i="1"/>
  <c r="SN25" i="1"/>
  <c r="SO25" i="1"/>
  <c r="SP25" i="1"/>
  <c r="ST25" i="1"/>
  <c r="SV25" i="1"/>
  <c r="SX25" i="1"/>
  <c r="SZ25" i="1"/>
  <c r="TB25" i="1"/>
  <c r="TD25" i="1"/>
  <c r="TF25" i="1"/>
  <c r="TH25" i="1"/>
  <c r="TJ25" i="1"/>
  <c r="TL25" i="1"/>
  <c r="TN25" i="1"/>
  <c r="TP25" i="1"/>
  <c r="TR25" i="1"/>
  <c r="TT25" i="1"/>
  <c r="H25" i="1"/>
  <c r="I25" i="1"/>
  <c r="J25" i="1"/>
  <c r="K25" i="1"/>
  <c r="L25" i="1"/>
  <c r="E25" i="1"/>
  <c r="F25" i="1"/>
  <c r="G25" i="1"/>
  <c r="D25" i="1"/>
  <c r="G17" i="1"/>
  <c r="E17" i="1"/>
  <c r="F17" i="1"/>
  <c r="H17" i="1"/>
  <c r="J17" i="1"/>
  <c r="L17" i="1"/>
  <c r="N17" i="1"/>
  <c r="P17" i="1"/>
  <c r="R17" i="1"/>
  <c r="T17" i="1"/>
  <c r="V17" i="1"/>
  <c r="X17" i="1"/>
  <c r="Z17" i="1"/>
  <c r="AB17" i="1"/>
  <c r="AD17" i="1"/>
  <c r="AF17" i="1"/>
  <c r="AH17" i="1"/>
  <c r="AJ17" i="1"/>
  <c r="AL17" i="1"/>
  <c r="AN17" i="1"/>
  <c r="AP17" i="1"/>
  <c r="AR17" i="1"/>
  <c r="AT17" i="1"/>
  <c r="AV17" i="1"/>
  <c r="AX17" i="1"/>
  <c r="AZ17" i="1"/>
  <c r="BB17" i="1"/>
  <c r="BD17" i="1"/>
  <c r="BF17" i="1"/>
  <c r="BH17" i="1"/>
  <c r="BJ17" i="1"/>
  <c r="BL17" i="1"/>
  <c r="BN17" i="1"/>
  <c r="BP17" i="1"/>
  <c r="BR17" i="1"/>
  <c r="BT17" i="1"/>
  <c r="BV17" i="1"/>
  <c r="BX17" i="1"/>
  <c r="BZ17" i="1"/>
  <c r="CB17" i="1"/>
  <c r="CD17" i="1"/>
  <c r="CF17" i="1"/>
  <c r="CH17" i="1"/>
  <c r="CJ17" i="1"/>
  <c r="CL17" i="1"/>
  <c r="CN17" i="1"/>
  <c r="CP17" i="1"/>
  <c r="CR17" i="1"/>
  <c r="CT17" i="1"/>
  <c r="CV17" i="1"/>
  <c r="CW17" i="1"/>
  <c r="CX17" i="1"/>
  <c r="CY17" i="1"/>
  <c r="CZ17" i="1"/>
  <c r="DA17" i="1"/>
  <c r="DB17" i="1"/>
  <c r="DC17" i="1"/>
  <c r="DD17" i="1"/>
  <c r="DE17" i="1"/>
  <c r="DF17" i="1"/>
  <c r="DG17" i="1"/>
  <c r="DH17" i="1"/>
  <c r="DI17" i="1"/>
  <c r="DJ17" i="1"/>
  <c r="DK17" i="1"/>
  <c r="DL17" i="1"/>
  <c r="DM17" i="1"/>
  <c r="DN17" i="1"/>
  <c r="DO17" i="1"/>
  <c r="DP17" i="1"/>
  <c r="DQ17" i="1"/>
  <c r="DR17" i="1"/>
  <c r="DS17" i="1"/>
  <c r="DT17" i="1"/>
  <c r="DU17" i="1"/>
  <c r="DV17" i="1"/>
  <c r="DX17" i="1"/>
  <c r="DZ17" i="1"/>
  <c r="EB17" i="1"/>
  <c r="ED17" i="1"/>
  <c r="EF17" i="1"/>
  <c r="EH17" i="1"/>
  <c r="EJ17" i="1"/>
  <c r="EL17" i="1"/>
  <c r="EN17" i="1"/>
  <c r="EP17" i="1"/>
  <c r="ER17" i="1"/>
  <c r="ET17" i="1"/>
  <c r="EV17" i="1"/>
  <c r="EX17" i="1"/>
  <c r="EZ17" i="1"/>
  <c r="FB17" i="1"/>
  <c r="FD17" i="1"/>
  <c r="FF17" i="1"/>
  <c r="FH17" i="1"/>
  <c r="FJ17" i="1"/>
  <c r="FL17" i="1"/>
  <c r="FN17" i="1"/>
  <c r="FP17" i="1"/>
  <c r="FR17" i="1"/>
  <c r="FT17" i="1"/>
  <c r="FV17" i="1"/>
  <c r="FX17" i="1"/>
  <c r="FZ17" i="1"/>
  <c r="GB17" i="1"/>
  <c r="GD17" i="1"/>
  <c r="GF17" i="1"/>
  <c r="GH17" i="1"/>
  <c r="GJ17" i="1"/>
  <c r="GL17" i="1"/>
  <c r="GN17" i="1"/>
  <c r="GP17" i="1"/>
  <c r="GR17" i="1"/>
  <c r="GT17" i="1"/>
  <c r="GV17" i="1"/>
  <c r="GX17" i="1"/>
  <c r="GZ17" i="1"/>
  <c r="HB17" i="1"/>
  <c r="HD17" i="1"/>
  <c r="HF17" i="1"/>
  <c r="HH17" i="1"/>
  <c r="HJ17" i="1"/>
  <c r="HL17" i="1"/>
  <c r="HN17" i="1"/>
  <c r="HP17" i="1"/>
  <c r="HR17" i="1"/>
  <c r="HT17" i="1"/>
  <c r="HV17" i="1"/>
  <c r="HX17" i="1"/>
  <c r="HZ17" i="1"/>
  <c r="IB17" i="1"/>
  <c r="ID17" i="1"/>
  <c r="IF17" i="1"/>
  <c r="IH17" i="1"/>
  <c r="IJ17" i="1"/>
  <c r="IL17" i="1"/>
  <c r="IN17" i="1"/>
  <c r="IP17" i="1"/>
  <c r="IR17" i="1"/>
  <c r="IT17" i="1"/>
  <c r="IV17" i="1"/>
  <c r="IX17" i="1"/>
  <c r="IZ17" i="1"/>
  <c r="JB17" i="1"/>
  <c r="JD17" i="1"/>
  <c r="JF17" i="1"/>
  <c r="JH17" i="1"/>
  <c r="JJ17" i="1"/>
  <c r="JL17" i="1"/>
  <c r="JN17" i="1"/>
  <c r="JP17" i="1"/>
  <c r="JR17" i="1"/>
  <c r="JT17" i="1"/>
  <c r="JV17" i="1"/>
  <c r="JX17" i="1"/>
  <c r="JZ17" i="1"/>
  <c r="KB17" i="1"/>
  <c r="KD17" i="1"/>
  <c r="KF17" i="1"/>
  <c r="KH17" i="1"/>
  <c r="KJ17" i="1"/>
  <c r="KL17" i="1"/>
  <c r="KN17" i="1"/>
  <c r="KP17" i="1"/>
  <c r="KR17" i="1"/>
  <c r="KT17" i="1"/>
  <c r="KV17" i="1"/>
  <c r="KX17" i="1"/>
  <c r="KZ17" i="1"/>
  <c r="LB17" i="1"/>
  <c r="LD17" i="1"/>
  <c r="LF17" i="1"/>
  <c r="LH17" i="1"/>
  <c r="LJ17" i="1"/>
  <c r="LL17" i="1"/>
  <c r="LN17" i="1"/>
  <c r="LP17" i="1"/>
  <c r="LR17" i="1"/>
  <c r="LT17" i="1"/>
  <c r="LV17" i="1"/>
  <c r="LX17" i="1"/>
  <c r="LZ17" i="1"/>
  <c r="MB17" i="1"/>
  <c r="MD17" i="1"/>
  <c r="MF17" i="1"/>
  <c r="MH17" i="1"/>
  <c r="MJ17" i="1"/>
  <c r="ML17" i="1"/>
  <c r="MN17" i="1"/>
  <c r="MP17" i="1"/>
  <c r="MR17" i="1"/>
  <c r="MT17" i="1"/>
  <c r="MV17" i="1"/>
  <c r="MX17" i="1"/>
  <c r="MZ17" i="1"/>
  <c r="NB17" i="1"/>
  <c r="ND17" i="1"/>
  <c r="NF17" i="1"/>
  <c r="NH17" i="1"/>
  <c r="NJ17" i="1"/>
  <c r="NL17" i="1"/>
  <c r="NN17" i="1"/>
  <c r="NP17" i="1"/>
  <c r="NR17" i="1"/>
  <c r="NT17" i="1"/>
  <c r="NV17" i="1"/>
  <c r="NX17" i="1"/>
  <c r="NZ17" i="1"/>
  <c r="OB17" i="1"/>
  <c r="OD17" i="1"/>
  <c r="OF17" i="1"/>
  <c r="OH17" i="1"/>
  <c r="OJ17" i="1"/>
  <c r="OL17" i="1"/>
  <c r="ON17" i="1"/>
  <c r="OP17" i="1"/>
  <c r="OR17" i="1"/>
  <c r="OT17" i="1"/>
  <c r="OV17" i="1"/>
  <c r="OX17" i="1"/>
  <c r="OZ17" i="1"/>
  <c r="PB17" i="1"/>
  <c r="PD17" i="1"/>
  <c r="PF17" i="1"/>
  <c r="PH17" i="1"/>
  <c r="PJ17" i="1"/>
  <c r="PL17" i="1"/>
  <c r="PN17" i="1"/>
  <c r="PP17" i="1"/>
  <c r="PR17" i="1"/>
  <c r="PT17" i="1"/>
  <c r="PV17" i="1"/>
  <c r="PX17" i="1"/>
  <c r="PZ17" i="1"/>
  <c r="QB17" i="1"/>
  <c r="QD17" i="1"/>
  <c r="QF17" i="1"/>
  <c r="QH17" i="1"/>
  <c r="QJ17" i="1"/>
  <c r="QL17" i="1"/>
  <c r="QN17" i="1"/>
  <c r="QP17" i="1"/>
  <c r="QR17" i="1"/>
  <c r="QT17" i="1"/>
  <c r="QV17" i="1"/>
  <c r="QX17" i="1"/>
  <c r="QZ17" i="1"/>
  <c r="RB17" i="1"/>
  <c r="RD17" i="1"/>
  <c r="RF17" i="1"/>
  <c r="RH17" i="1"/>
  <c r="RJ17" i="1"/>
  <c r="RL17" i="1"/>
  <c r="RN17" i="1"/>
  <c r="RP17" i="1"/>
  <c r="RR17" i="1"/>
  <c r="RT17" i="1"/>
  <c r="D17" i="1"/>
  <c r="TG13" i="1"/>
  <c r="TI13" i="1"/>
  <c r="TK13" i="1"/>
  <c r="TM13" i="1"/>
  <c r="TO13" i="1"/>
  <c r="TQ13" i="1"/>
  <c r="TS13" i="1"/>
  <c r="TU13" i="1"/>
  <c r="TG14" i="1"/>
  <c r="TI14" i="1"/>
  <c r="TK14" i="1"/>
  <c r="TM14" i="1"/>
  <c r="TO14" i="1"/>
  <c r="TQ14" i="1"/>
  <c r="TS14" i="1"/>
  <c r="TU14" i="1"/>
  <c r="TG15" i="1"/>
  <c r="TI15" i="1"/>
  <c r="TK15" i="1"/>
  <c r="TM15" i="1"/>
  <c r="TO15" i="1"/>
  <c r="TQ15" i="1"/>
  <c r="TS15" i="1"/>
  <c r="TU15" i="1"/>
  <c r="TG16" i="1"/>
  <c r="TI16" i="1"/>
  <c r="TK16" i="1"/>
  <c r="TM16" i="1"/>
  <c r="TO16" i="1"/>
  <c r="TQ16" i="1"/>
  <c r="TS16" i="1"/>
  <c r="TU16" i="1"/>
  <c r="TG21" i="1"/>
  <c r="TI21" i="1"/>
  <c r="TK21" i="1"/>
  <c r="TM21" i="1"/>
  <c r="TO21" i="1"/>
  <c r="TQ21" i="1"/>
  <c r="TS21" i="1"/>
  <c r="TU21" i="1"/>
  <c r="TG22" i="1"/>
  <c r="TI22" i="1"/>
  <c r="TK22" i="1"/>
  <c r="TM22" i="1"/>
  <c r="TO22" i="1"/>
  <c r="TQ22" i="1"/>
  <c r="TS22" i="1"/>
  <c r="TU22" i="1"/>
  <c r="TG23" i="1"/>
  <c r="TI23" i="1"/>
  <c r="TK23" i="1"/>
  <c r="TM23" i="1"/>
  <c r="TO23" i="1"/>
  <c r="TQ23" i="1"/>
  <c r="TS23" i="1"/>
  <c r="TU23" i="1"/>
  <c r="TG24" i="1"/>
  <c r="TI24" i="1"/>
  <c r="TK24" i="1"/>
  <c r="TM24" i="1"/>
  <c r="TO24" i="1"/>
  <c r="TO25" i="1" s="1"/>
  <c r="TQ24" i="1"/>
  <c r="TS24" i="1"/>
  <c r="TU24" i="1"/>
  <c r="SY13" i="1"/>
  <c r="TA13" i="1"/>
  <c r="TC13" i="1"/>
  <c r="TE13" i="1"/>
  <c r="SY14" i="1"/>
  <c r="SY17" i="1" s="1"/>
  <c r="TA14" i="1"/>
  <c r="TC14" i="1"/>
  <c r="TE14" i="1"/>
  <c r="SY15" i="1"/>
  <c r="TA15" i="1"/>
  <c r="TC15" i="1"/>
  <c r="TE15" i="1"/>
  <c r="SY16" i="1"/>
  <c r="TA16" i="1"/>
  <c r="TC16" i="1"/>
  <c r="TE16" i="1"/>
  <c r="SY21" i="1"/>
  <c r="TA21" i="1"/>
  <c r="TC21" i="1"/>
  <c r="TE21" i="1"/>
  <c r="SY22" i="1"/>
  <c r="TA22" i="1"/>
  <c r="TC22" i="1"/>
  <c r="TE22" i="1"/>
  <c r="SY23" i="1"/>
  <c r="SY25" i="1" s="1"/>
  <c r="TA23" i="1"/>
  <c r="TC23" i="1"/>
  <c r="TE23" i="1"/>
  <c r="SY24" i="1"/>
  <c r="TA24" i="1"/>
  <c r="TC24" i="1"/>
  <c r="TE24" i="1"/>
  <c r="SU13" i="1"/>
  <c r="SW13" i="1"/>
  <c r="SU14" i="1"/>
  <c r="SW14" i="1"/>
  <c r="SW17" i="1" s="1"/>
  <c r="SU15" i="1"/>
  <c r="SW15" i="1"/>
  <c r="SU16" i="1"/>
  <c r="SW16" i="1"/>
  <c r="SU21" i="1"/>
  <c r="SW21" i="1"/>
  <c r="SU22" i="1"/>
  <c r="SW22" i="1"/>
  <c r="SU23" i="1"/>
  <c r="SW23" i="1"/>
  <c r="SU24" i="1"/>
  <c r="SW24" i="1"/>
  <c r="TU25" i="1" l="1"/>
  <c r="TU17" i="1"/>
  <c r="TS25" i="1"/>
  <c r="TS17" i="1"/>
  <c r="TQ25" i="1"/>
  <c r="TQ17" i="1"/>
  <c r="TM25" i="1"/>
  <c r="TO17" i="1"/>
  <c r="TM17" i="1"/>
  <c r="TK25" i="1"/>
  <c r="TK17" i="1"/>
  <c r="TI25" i="1"/>
  <c r="TG25" i="1"/>
  <c r="TA25" i="1"/>
  <c r="TA17" i="1"/>
  <c r="TC25" i="1"/>
  <c r="TE25" i="1"/>
  <c r="SW25" i="1"/>
  <c r="SU25" i="1"/>
  <c r="E109" i="1"/>
  <c r="D109" i="1"/>
  <c r="C109" i="1"/>
  <c r="E108" i="1"/>
  <c r="D108" i="1"/>
  <c r="C108" i="1"/>
  <c r="E107" i="1"/>
  <c r="D107" i="1"/>
  <c r="C107" i="1"/>
  <c r="E106" i="1"/>
  <c r="D106" i="1"/>
  <c r="C106" i="1"/>
  <c r="E105" i="1"/>
  <c r="D105" i="1"/>
  <c r="C105" i="1"/>
  <c r="E104" i="1"/>
  <c r="D104" i="1"/>
  <c r="C104" i="1"/>
  <c r="E103" i="1"/>
  <c r="D103" i="1"/>
  <c r="C103" i="1"/>
  <c r="E102" i="1"/>
  <c r="D102" i="1"/>
  <c r="C102" i="1"/>
  <c r="E101" i="1"/>
  <c r="D101" i="1"/>
  <c r="C101" i="1"/>
  <c r="E100" i="1"/>
  <c r="D100" i="1"/>
  <c r="C100" i="1"/>
  <c r="E99" i="1"/>
  <c r="D99" i="1"/>
  <c r="C99" i="1"/>
  <c r="E98" i="1"/>
  <c r="D98" i="1"/>
  <c r="C98" i="1"/>
  <c r="E97" i="1"/>
  <c r="D97" i="1"/>
  <c r="C97" i="1"/>
  <c r="E96" i="1"/>
  <c r="D96" i="1"/>
  <c r="C96" i="1"/>
  <c r="E95" i="1"/>
  <c r="D95" i="1"/>
  <c r="C95" i="1"/>
  <c r="E94" i="1"/>
  <c r="D94" i="1"/>
  <c r="C94" i="1"/>
  <c r="E93" i="1"/>
  <c r="D93" i="1"/>
  <c r="C93" i="1"/>
  <c r="E92" i="1"/>
  <c r="D92" i="1"/>
  <c r="C92" i="1"/>
  <c r="E91" i="1"/>
  <c r="D91" i="1"/>
  <c r="C91" i="1"/>
  <c r="E90" i="1"/>
  <c r="D90" i="1"/>
  <c r="C90" i="1"/>
  <c r="E89" i="1"/>
  <c r="D89" i="1"/>
  <c r="C89" i="1"/>
  <c r="E88" i="1"/>
  <c r="D88" i="1"/>
  <c r="C88" i="1"/>
  <c r="E87" i="1"/>
  <c r="D87" i="1"/>
  <c r="C87" i="1"/>
  <c r="E86" i="1"/>
  <c r="D86" i="1"/>
  <c r="C86" i="1"/>
  <c r="E85" i="1"/>
  <c r="D85" i="1"/>
  <c r="C85" i="1"/>
  <c r="E84" i="1"/>
  <c r="D84" i="1"/>
  <c r="C84" i="1"/>
  <c r="E83" i="1"/>
  <c r="D83" i="1"/>
  <c r="C83" i="1"/>
  <c r="E82" i="1"/>
  <c r="D82" i="1"/>
  <c r="C82" i="1"/>
  <c r="E81" i="1"/>
  <c r="D81" i="1"/>
  <c r="C81" i="1"/>
  <c r="E80" i="1"/>
  <c r="D80" i="1"/>
  <c r="C80" i="1"/>
  <c r="SS24" i="1"/>
  <c r="SQ24" i="1"/>
  <c r="SO24" i="1"/>
  <c r="SM24" i="1"/>
  <c r="SK24" i="1"/>
  <c r="SI24" i="1"/>
  <c r="SG24" i="1"/>
  <c r="SE24" i="1"/>
  <c r="SC24" i="1"/>
  <c r="SA24" i="1"/>
  <c r="RY24" i="1"/>
  <c r="RW24" i="1"/>
  <c r="RU24" i="1"/>
  <c r="RS24" i="1"/>
  <c r="RQ24" i="1"/>
  <c r="RO24" i="1"/>
  <c r="RM24" i="1"/>
  <c r="RK24" i="1"/>
  <c r="RI24" i="1"/>
  <c r="RG24" i="1"/>
  <c r="RE24" i="1"/>
  <c r="RC24" i="1"/>
  <c r="RA24" i="1"/>
  <c r="QY24" i="1"/>
  <c r="QW24" i="1"/>
  <c r="QU24" i="1"/>
  <c r="QS24" i="1"/>
  <c r="QQ24" i="1"/>
  <c r="QO24" i="1"/>
  <c r="QM24" i="1"/>
  <c r="QK24" i="1"/>
  <c r="QI24" i="1"/>
  <c r="QG24" i="1"/>
  <c r="QE24" i="1"/>
  <c r="QC24" i="1"/>
  <c r="QA24" i="1"/>
  <c r="PY24" i="1"/>
  <c r="PW24" i="1"/>
  <c r="PU24" i="1"/>
  <c r="PS24" i="1"/>
  <c r="PQ24" i="1"/>
  <c r="PO24" i="1"/>
  <c r="PM24" i="1"/>
  <c r="PK24" i="1"/>
  <c r="PI24" i="1"/>
  <c r="PG24" i="1"/>
  <c r="PE24" i="1"/>
  <c r="PC24" i="1"/>
  <c r="PA24" i="1"/>
  <c r="OY24" i="1"/>
  <c r="OW24" i="1"/>
  <c r="OU24" i="1"/>
  <c r="OS24" i="1"/>
  <c r="OQ24" i="1"/>
  <c r="OO24" i="1"/>
  <c r="OM24" i="1"/>
  <c r="OK24" i="1"/>
  <c r="OI24" i="1"/>
  <c r="OG24" i="1"/>
  <c r="OE24" i="1"/>
  <c r="OC24" i="1"/>
  <c r="OA24" i="1"/>
  <c r="NY24" i="1"/>
  <c r="NW24" i="1"/>
  <c r="NU24" i="1"/>
  <c r="NS24" i="1"/>
  <c r="NQ24" i="1"/>
  <c r="NO24" i="1"/>
  <c r="NM24" i="1"/>
  <c r="NK24" i="1"/>
  <c r="NI24" i="1"/>
  <c r="NG24" i="1"/>
  <c r="NE24" i="1"/>
  <c r="NC24" i="1"/>
  <c r="NA24" i="1"/>
  <c r="MY24" i="1"/>
  <c r="MW24" i="1"/>
  <c r="MU24" i="1"/>
  <c r="MS24" i="1"/>
  <c r="MQ24" i="1"/>
  <c r="MO24" i="1"/>
  <c r="MM24" i="1"/>
  <c r="MK24" i="1"/>
  <c r="MI24" i="1"/>
  <c r="MG24" i="1"/>
  <c r="ME24" i="1"/>
  <c r="MC24" i="1"/>
  <c r="MA24" i="1"/>
  <c r="LY24" i="1"/>
  <c r="LW24" i="1"/>
  <c r="LU24" i="1"/>
  <c r="LS24" i="1"/>
  <c r="LQ24" i="1"/>
  <c r="LO24" i="1"/>
  <c r="LM24" i="1"/>
  <c r="LK24" i="1"/>
  <c r="LI24" i="1"/>
  <c r="LG24" i="1"/>
  <c r="LE24" i="1"/>
  <c r="LC24" i="1"/>
  <c r="LA24" i="1"/>
  <c r="KY24" i="1"/>
  <c r="KW24" i="1"/>
  <c r="KU24" i="1"/>
  <c r="KS24" i="1"/>
  <c r="KQ24" i="1"/>
  <c r="KO24" i="1"/>
  <c r="KM24" i="1"/>
  <c r="KK24" i="1"/>
  <c r="KI24" i="1"/>
  <c r="KG24" i="1"/>
  <c r="KE24" i="1"/>
  <c r="KC24" i="1"/>
  <c r="KA24" i="1"/>
  <c r="JY24" i="1"/>
  <c r="JW24" i="1"/>
  <c r="JU24" i="1"/>
  <c r="JS24" i="1"/>
  <c r="JQ24" i="1"/>
  <c r="JO24" i="1"/>
  <c r="JM24" i="1"/>
  <c r="JK24" i="1"/>
  <c r="JI24" i="1"/>
  <c r="JG24" i="1"/>
  <c r="JE24" i="1"/>
  <c r="JC24" i="1"/>
  <c r="JA24" i="1"/>
  <c r="IY24" i="1"/>
  <c r="IW24" i="1"/>
  <c r="IU24" i="1"/>
  <c r="IS24" i="1"/>
  <c r="IQ24" i="1"/>
  <c r="IO24" i="1"/>
  <c r="IM24" i="1"/>
  <c r="IK24" i="1"/>
  <c r="II24" i="1"/>
  <c r="IG24" i="1"/>
  <c r="IE24" i="1"/>
  <c r="IC24" i="1"/>
  <c r="IA24" i="1"/>
  <c r="HY24" i="1"/>
  <c r="HW24" i="1"/>
  <c r="HU24" i="1"/>
  <c r="HS24" i="1"/>
  <c r="HQ24" i="1"/>
  <c r="HO24" i="1"/>
  <c r="HM24" i="1"/>
  <c r="HK24" i="1"/>
  <c r="HI24" i="1"/>
  <c r="HG24" i="1"/>
  <c r="HE24" i="1"/>
  <c r="HC24" i="1"/>
  <c r="HA24" i="1"/>
  <c r="GY24" i="1"/>
  <c r="GW24" i="1"/>
  <c r="GU24" i="1"/>
  <c r="GS24" i="1"/>
  <c r="GQ24" i="1"/>
  <c r="GO24" i="1"/>
  <c r="GM24" i="1"/>
  <c r="GK24" i="1"/>
  <c r="GI24" i="1"/>
  <c r="GG24" i="1"/>
  <c r="GE24" i="1"/>
  <c r="GC24" i="1"/>
  <c r="GA24" i="1"/>
  <c r="FY24" i="1"/>
  <c r="FW24" i="1"/>
  <c r="FU24" i="1"/>
  <c r="FS24" i="1"/>
  <c r="FQ24" i="1"/>
  <c r="FO24" i="1"/>
  <c r="FM24" i="1"/>
  <c r="FK24" i="1"/>
  <c r="FI24" i="1"/>
  <c r="FG24" i="1"/>
  <c r="FE24" i="1"/>
  <c r="FC24" i="1"/>
  <c r="FA24" i="1"/>
  <c r="EY24" i="1"/>
  <c r="EW24" i="1"/>
  <c r="EU24" i="1"/>
  <c r="ES24" i="1"/>
  <c r="EQ24" i="1"/>
  <c r="EO24" i="1"/>
  <c r="EM24" i="1"/>
  <c r="EK24" i="1"/>
  <c r="EI24" i="1"/>
  <c r="EG24" i="1"/>
  <c r="EE24" i="1"/>
  <c r="EC24" i="1"/>
  <c r="EA24" i="1"/>
  <c r="DY24" i="1"/>
  <c r="DW24" i="1"/>
  <c r="CU24" i="1"/>
  <c r="CS24" i="1"/>
  <c r="CQ24" i="1"/>
  <c r="CO24" i="1"/>
  <c r="CM24" i="1"/>
  <c r="CK24" i="1"/>
  <c r="CI24" i="1"/>
  <c r="CG24" i="1"/>
  <c r="CE24" i="1"/>
  <c r="CC24" i="1"/>
  <c r="CA24" i="1"/>
  <c r="BY24" i="1"/>
  <c r="BW24" i="1"/>
  <c r="BU24" i="1"/>
  <c r="BS24" i="1"/>
  <c r="BQ24" i="1"/>
  <c r="BO24" i="1"/>
  <c r="BM24" i="1"/>
  <c r="BK24" i="1"/>
  <c r="BI24" i="1"/>
  <c r="BG24" i="1"/>
  <c r="BE24" i="1"/>
  <c r="BC24" i="1"/>
  <c r="BA24" i="1"/>
  <c r="AY24" i="1"/>
  <c r="AW24" i="1"/>
  <c r="AU24" i="1"/>
  <c r="AS24" i="1"/>
  <c r="AQ24" i="1"/>
  <c r="AO24" i="1"/>
  <c r="AM24" i="1"/>
  <c r="AK24" i="1"/>
  <c r="AI24" i="1"/>
  <c r="AG24" i="1"/>
  <c r="AE24" i="1"/>
  <c r="AC24" i="1"/>
  <c r="AA24" i="1"/>
  <c r="Y24" i="1"/>
  <c r="W24" i="1"/>
  <c r="U24" i="1"/>
  <c r="S24" i="1"/>
  <c r="Q24" i="1"/>
  <c r="O24" i="1"/>
  <c r="M24" i="1"/>
  <c r="K24" i="1"/>
  <c r="I24" i="1"/>
  <c r="SS23" i="1"/>
  <c r="SQ23" i="1"/>
  <c r="SO23" i="1"/>
  <c r="SM23" i="1"/>
  <c r="SK23" i="1"/>
  <c r="SI23" i="1"/>
  <c r="SG23" i="1"/>
  <c r="SE23" i="1"/>
  <c r="SC23" i="1"/>
  <c r="SA23" i="1"/>
  <c r="RY23" i="1"/>
  <c r="RW23" i="1"/>
  <c r="RU23" i="1"/>
  <c r="RS23" i="1"/>
  <c r="RQ23" i="1"/>
  <c r="RO23" i="1"/>
  <c r="RM23" i="1"/>
  <c r="RK23" i="1"/>
  <c r="RI23" i="1"/>
  <c r="RG23" i="1"/>
  <c r="RE23" i="1"/>
  <c r="RC23" i="1"/>
  <c r="RA23" i="1"/>
  <c r="QY23" i="1"/>
  <c r="QW23" i="1"/>
  <c r="QU23" i="1"/>
  <c r="QS23" i="1"/>
  <c r="QQ23" i="1"/>
  <c r="QO23" i="1"/>
  <c r="QM23" i="1"/>
  <c r="QK23" i="1"/>
  <c r="QI23" i="1"/>
  <c r="QG23" i="1"/>
  <c r="QE23" i="1"/>
  <c r="QC23" i="1"/>
  <c r="QA23" i="1"/>
  <c r="PY23" i="1"/>
  <c r="PW23" i="1"/>
  <c r="PU23" i="1"/>
  <c r="PS23" i="1"/>
  <c r="PQ23" i="1"/>
  <c r="PO23" i="1"/>
  <c r="PM23" i="1"/>
  <c r="PK23" i="1"/>
  <c r="PI23" i="1"/>
  <c r="PG23" i="1"/>
  <c r="PE23" i="1"/>
  <c r="PC23" i="1"/>
  <c r="PA23" i="1"/>
  <c r="OY23" i="1"/>
  <c r="OW23" i="1"/>
  <c r="OU23" i="1"/>
  <c r="OS23" i="1"/>
  <c r="OQ23" i="1"/>
  <c r="OO23" i="1"/>
  <c r="OM23" i="1"/>
  <c r="OK23" i="1"/>
  <c r="OI23" i="1"/>
  <c r="OG23" i="1"/>
  <c r="OE23" i="1"/>
  <c r="OC23" i="1"/>
  <c r="OA23" i="1"/>
  <c r="NY23" i="1"/>
  <c r="NW23" i="1"/>
  <c r="NU23" i="1"/>
  <c r="NS23" i="1"/>
  <c r="NQ23" i="1"/>
  <c r="NO23" i="1"/>
  <c r="NM23" i="1"/>
  <c r="NK23" i="1"/>
  <c r="NI23" i="1"/>
  <c r="NG23" i="1"/>
  <c r="NE23" i="1"/>
  <c r="NC23" i="1"/>
  <c r="NA23" i="1"/>
  <c r="MY23" i="1"/>
  <c r="MW23" i="1"/>
  <c r="MU23" i="1"/>
  <c r="MS23" i="1"/>
  <c r="MQ23" i="1"/>
  <c r="MO23" i="1"/>
  <c r="MM23" i="1"/>
  <c r="MK23" i="1"/>
  <c r="MI23" i="1"/>
  <c r="MG23" i="1"/>
  <c r="ME23" i="1"/>
  <c r="MC23" i="1"/>
  <c r="MA23" i="1"/>
  <c r="LY23" i="1"/>
  <c r="LW23" i="1"/>
  <c r="LU23" i="1"/>
  <c r="LS23" i="1"/>
  <c r="LQ23" i="1"/>
  <c r="LO23" i="1"/>
  <c r="LM23" i="1"/>
  <c r="LK23" i="1"/>
  <c r="LI23" i="1"/>
  <c r="LG23" i="1"/>
  <c r="LE23" i="1"/>
  <c r="LC23" i="1"/>
  <c r="LA23" i="1"/>
  <c r="KY23" i="1"/>
  <c r="KW23" i="1"/>
  <c r="KU23" i="1"/>
  <c r="KS23" i="1"/>
  <c r="KQ23" i="1"/>
  <c r="KO23" i="1"/>
  <c r="KM23" i="1"/>
  <c r="KK23" i="1"/>
  <c r="KI23" i="1"/>
  <c r="KG23" i="1"/>
  <c r="KE23" i="1"/>
  <c r="KC23" i="1"/>
  <c r="KA23" i="1"/>
  <c r="JY23" i="1"/>
  <c r="JW23" i="1"/>
  <c r="JU23" i="1"/>
  <c r="JS23" i="1"/>
  <c r="JQ23" i="1"/>
  <c r="JO23" i="1"/>
  <c r="JM23" i="1"/>
  <c r="JK23" i="1"/>
  <c r="JI23" i="1"/>
  <c r="JG23" i="1"/>
  <c r="JE23" i="1"/>
  <c r="JC23" i="1"/>
  <c r="JA23" i="1"/>
  <c r="IY23" i="1"/>
  <c r="IW23" i="1"/>
  <c r="IU23" i="1"/>
  <c r="IS23" i="1"/>
  <c r="IQ23" i="1"/>
  <c r="IO23" i="1"/>
  <c r="IM23" i="1"/>
  <c r="IK23" i="1"/>
  <c r="II23" i="1"/>
  <c r="IG23" i="1"/>
  <c r="IE23" i="1"/>
  <c r="IC23" i="1"/>
  <c r="IA23" i="1"/>
  <c r="HY23" i="1"/>
  <c r="HW23" i="1"/>
  <c r="HU23" i="1"/>
  <c r="HS23" i="1"/>
  <c r="HQ23" i="1"/>
  <c r="HO23" i="1"/>
  <c r="HM23" i="1"/>
  <c r="HK23" i="1"/>
  <c r="HI23" i="1"/>
  <c r="HG23" i="1"/>
  <c r="HE23" i="1"/>
  <c r="HC23" i="1"/>
  <c r="HA23" i="1"/>
  <c r="GY23" i="1"/>
  <c r="GW23" i="1"/>
  <c r="GU23" i="1"/>
  <c r="GS23" i="1"/>
  <c r="GQ23" i="1"/>
  <c r="GO23" i="1"/>
  <c r="GM23" i="1"/>
  <c r="GK23" i="1"/>
  <c r="GI23" i="1"/>
  <c r="GG23" i="1"/>
  <c r="GE23" i="1"/>
  <c r="GC23" i="1"/>
  <c r="GA23" i="1"/>
  <c r="FY23" i="1"/>
  <c r="FW23" i="1"/>
  <c r="FU23" i="1"/>
  <c r="FS23" i="1"/>
  <c r="FQ23" i="1"/>
  <c r="FO23" i="1"/>
  <c r="FM23" i="1"/>
  <c r="FK23" i="1"/>
  <c r="FI23" i="1"/>
  <c r="FG23" i="1"/>
  <c r="FE23" i="1"/>
  <c r="FC23" i="1"/>
  <c r="FA23" i="1"/>
  <c r="EY23" i="1"/>
  <c r="EW23" i="1"/>
  <c r="EU23" i="1"/>
  <c r="ES23" i="1"/>
  <c r="EQ23" i="1"/>
  <c r="EO23" i="1"/>
  <c r="EM23" i="1"/>
  <c r="EK23" i="1"/>
  <c r="EI23" i="1"/>
  <c r="EG23" i="1"/>
  <c r="EE23" i="1"/>
  <c r="EC23" i="1"/>
  <c r="EA23" i="1"/>
  <c r="DY23" i="1"/>
  <c r="DW23" i="1"/>
  <c r="CU23" i="1"/>
  <c r="CS23" i="1"/>
  <c r="CQ23" i="1"/>
  <c r="CO23" i="1"/>
  <c r="CM23" i="1"/>
  <c r="CK23" i="1"/>
  <c r="CI23" i="1"/>
  <c r="CG23" i="1"/>
  <c r="CE23" i="1"/>
  <c r="CC23" i="1"/>
  <c r="CA23" i="1"/>
  <c r="BY23" i="1"/>
  <c r="BW23" i="1"/>
  <c r="BU23" i="1"/>
  <c r="BS23" i="1"/>
  <c r="BQ23" i="1"/>
  <c r="BO23" i="1"/>
  <c r="BM23" i="1"/>
  <c r="BK23" i="1"/>
  <c r="BI23" i="1"/>
  <c r="BG23" i="1"/>
  <c r="BE23" i="1"/>
  <c r="BC23" i="1"/>
  <c r="BA23" i="1"/>
  <c r="AY23" i="1"/>
  <c r="AW23" i="1"/>
  <c r="AU23" i="1"/>
  <c r="AS23" i="1"/>
  <c r="AQ23" i="1"/>
  <c r="AO23" i="1"/>
  <c r="AM23" i="1"/>
  <c r="AK23" i="1"/>
  <c r="AI23" i="1"/>
  <c r="AG23" i="1"/>
  <c r="AE23" i="1"/>
  <c r="AC23" i="1"/>
  <c r="AA23" i="1"/>
  <c r="Y23" i="1"/>
  <c r="W23" i="1"/>
  <c r="U23" i="1"/>
  <c r="S23" i="1"/>
  <c r="Q23" i="1"/>
  <c r="O23" i="1"/>
  <c r="M23" i="1"/>
  <c r="K23" i="1"/>
  <c r="I23" i="1"/>
  <c r="SS22" i="1"/>
  <c r="SS25" i="1" s="1"/>
  <c r="SQ22" i="1"/>
  <c r="SQ25" i="1" s="1"/>
  <c r="SO22" i="1"/>
  <c r="SM22" i="1"/>
  <c r="SK22" i="1"/>
  <c r="SI22" i="1"/>
  <c r="SG22" i="1"/>
  <c r="SE22" i="1"/>
  <c r="SC22" i="1"/>
  <c r="SA22" i="1"/>
  <c r="RY22" i="1"/>
  <c r="RW22" i="1"/>
  <c r="RU22" i="1"/>
  <c r="RS22" i="1"/>
  <c r="RQ22" i="1"/>
  <c r="RO22" i="1"/>
  <c r="RM22" i="1"/>
  <c r="RK22" i="1"/>
  <c r="RI22" i="1"/>
  <c r="RG22" i="1"/>
  <c r="RE22" i="1"/>
  <c r="RC22" i="1"/>
  <c r="RA22" i="1"/>
  <c r="QY22" i="1"/>
  <c r="QW22" i="1"/>
  <c r="QU22" i="1"/>
  <c r="QS22" i="1"/>
  <c r="QQ22" i="1"/>
  <c r="QO22" i="1"/>
  <c r="QM22" i="1"/>
  <c r="QK22" i="1"/>
  <c r="QI22" i="1"/>
  <c r="QG22" i="1"/>
  <c r="QE22" i="1"/>
  <c r="QC22" i="1"/>
  <c r="QA22" i="1"/>
  <c r="PY22" i="1"/>
  <c r="PW22" i="1"/>
  <c r="PU22" i="1"/>
  <c r="PS22" i="1"/>
  <c r="PQ22" i="1"/>
  <c r="PO22" i="1"/>
  <c r="PM22" i="1"/>
  <c r="PK22" i="1"/>
  <c r="PI22" i="1"/>
  <c r="PG22" i="1"/>
  <c r="PE22" i="1"/>
  <c r="PC22" i="1"/>
  <c r="PA22" i="1"/>
  <c r="OY22" i="1"/>
  <c r="OW22" i="1"/>
  <c r="OU22" i="1"/>
  <c r="OS22" i="1"/>
  <c r="OQ22" i="1"/>
  <c r="OO22" i="1"/>
  <c r="OM22" i="1"/>
  <c r="OK22" i="1"/>
  <c r="OI22" i="1"/>
  <c r="OG22" i="1"/>
  <c r="OE22" i="1"/>
  <c r="OC22" i="1"/>
  <c r="OA22" i="1"/>
  <c r="NY22" i="1"/>
  <c r="NW22" i="1"/>
  <c r="NU22" i="1"/>
  <c r="NS22" i="1"/>
  <c r="NQ22" i="1"/>
  <c r="NO22" i="1"/>
  <c r="NM22" i="1"/>
  <c r="NK22" i="1"/>
  <c r="NI22" i="1"/>
  <c r="NG22" i="1"/>
  <c r="NE22" i="1"/>
  <c r="NC22" i="1"/>
  <c r="NA22" i="1"/>
  <c r="MY22" i="1"/>
  <c r="MW22" i="1"/>
  <c r="MU22" i="1"/>
  <c r="MS22" i="1"/>
  <c r="MQ22" i="1"/>
  <c r="MO22" i="1"/>
  <c r="MM22" i="1"/>
  <c r="MK22" i="1"/>
  <c r="MI22" i="1"/>
  <c r="MG22" i="1"/>
  <c r="ME22" i="1"/>
  <c r="MC22" i="1"/>
  <c r="MA22" i="1"/>
  <c r="LY22" i="1"/>
  <c r="LW22" i="1"/>
  <c r="LU22" i="1"/>
  <c r="LS22" i="1"/>
  <c r="LQ22" i="1"/>
  <c r="LO22" i="1"/>
  <c r="LM22" i="1"/>
  <c r="LK22" i="1"/>
  <c r="LI22" i="1"/>
  <c r="LG22" i="1"/>
  <c r="LE22" i="1"/>
  <c r="LC22" i="1"/>
  <c r="LA22" i="1"/>
  <c r="KY22" i="1"/>
  <c r="KW22" i="1"/>
  <c r="KU22" i="1"/>
  <c r="KS22" i="1"/>
  <c r="KQ22" i="1"/>
  <c r="KO22" i="1"/>
  <c r="KM22" i="1"/>
  <c r="KK22" i="1"/>
  <c r="KI22" i="1"/>
  <c r="KG22" i="1"/>
  <c r="KE22" i="1"/>
  <c r="KC22" i="1"/>
  <c r="KA22" i="1"/>
  <c r="JY22" i="1"/>
  <c r="JW22" i="1"/>
  <c r="JU22" i="1"/>
  <c r="JS22" i="1"/>
  <c r="JQ22" i="1"/>
  <c r="JO22" i="1"/>
  <c r="JM22" i="1"/>
  <c r="JK22" i="1"/>
  <c r="JI22" i="1"/>
  <c r="JG22" i="1"/>
  <c r="JE22" i="1"/>
  <c r="JC22" i="1"/>
  <c r="JA22" i="1"/>
  <c r="IY22" i="1"/>
  <c r="IW22" i="1"/>
  <c r="IU22" i="1"/>
  <c r="IS22" i="1"/>
  <c r="IQ22" i="1"/>
  <c r="IO22" i="1"/>
  <c r="IM22" i="1"/>
  <c r="IK22" i="1"/>
  <c r="II22" i="1"/>
  <c r="IG22" i="1"/>
  <c r="IE22" i="1"/>
  <c r="IC22" i="1"/>
  <c r="IA22" i="1"/>
  <c r="HY22" i="1"/>
  <c r="HW22" i="1"/>
  <c r="HU22" i="1"/>
  <c r="HS22" i="1"/>
  <c r="HQ22" i="1"/>
  <c r="HO22" i="1"/>
  <c r="HM22" i="1"/>
  <c r="HK22" i="1"/>
  <c r="HI22" i="1"/>
  <c r="HG22" i="1"/>
  <c r="HE22" i="1"/>
  <c r="HC22" i="1"/>
  <c r="HA22" i="1"/>
  <c r="GY22" i="1"/>
  <c r="GW22" i="1"/>
  <c r="GU22" i="1"/>
  <c r="GS22" i="1"/>
  <c r="GQ22" i="1"/>
  <c r="GO22" i="1"/>
  <c r="GM22" i="1"/>
  <c r="GK22" i="1"/>
  <c r="GI22" i="1"/>
  <c r="GG22" i="1"/>
  <c r="GE22" i="1"/>
  <c r="GC22" i="1"/>
  <c r="GA22" i="1"/>
  <c r="FY22" i="1"/>
  <c r="FW22" i="1"/>
  <c r="FU22" i="1"/>
  <c r="FS22" i="1"/>
  <c r="FQ22" i="1"/>
  <c r="FO22" i="1"/>
  <c r="FM22" i="1"/>
  <c r="FK22" i="1"/>
  <c r="FI22" i="1"/>
  <c r="FG22" i="1"/>
  <c r="FE22" i="1"/>
  <c r="FC22" i="1"/>
  <c r="FA22" i="1"/>
  <c r="EY22" i="1"/>
  <c r="EW22" i="1"/>
  <c r="EU22" i="1"/>
  <c r="ES22" i="1"/>
  <c r="EQ22" i="1"/>
  <c r="EO22" i="1"/>
  <c r="EM22" i="1"/>
  <c r="EK22" i="1"/>
  <c r="EI22" i="1"/>
  <c r="EG22" i="1"/>
  <c r="EE22" i="1"/>
  <c r="EC22" i="1"/>
  <c r="EA22" i="1"/>
  <c r="DY22" i="1"/>
  <c r="DW22" i="1"/>
  <c r="CU22" i="1"/>
  <c r="CS22" i="1"/>
  <c r="CQ22" i="1"/>
  <c r="CO22" i="1"/>
  <c r="CM22" i="1"/>
  <c r="CK22" i="1"/>
  <c r="CI22" i="1"/>
  <c r="CG22" i="1"/>
  <c r="CE22" i="1"/>
  <c r="CC22" i="1"/>
  <c r="CA22" i="1"/>
  <c r="BY22" i="1"/>
  <c r="BW22" i="1"/>
  <c r="BU22" i="1"/>
  <c r="BS22" i="1"/>
  <c r="BQ22" i="1"/>
  <c r="BO22" i="1"/>
  <c r="BM22" i="1"/>
  <c r="BK22" i="1"/>
  <c r="BI22" i="1"/>
  <c r="BG22" i="1"/>
  <c r="BE22" i="1"/>
  <c r="BC22" i="1"/>
  <c r="BA22" i="1"/>
  <c r="AY22" i="1"/>
  <c r="AW22" i="1"/>
  <c r="AU22" i="1"/>
  <c r="AS22" i="1"/>
  <c r="AQ22" i="1"/>
  <c r="AO22" i="1"/>
  <c r="AM22" i="1"/>
  <c r="AK22" i="1"/>
  <c r="AI22" i="1"/>
  <c r="AG22" i="1"/>
  <c r="AE22" i="1"/>
  <c r="AC22" i="1"/>
  <c r="AA22" i="1"/>
  <c r="Y22" i="1"/>
  <c r="W22" i="1"/>
  <c r="U22" i="1"/>
  <c r="S22" i="1"/>
  <c r="Q22" i="1"/>
  <c r="O22" i="1"/>
  <c r="M22" i="1"/>
  <c r="K22" i="1"/>
  <c r="I22" i="1"/>
  <c r="SS21" i="1"/>
  <c r="SQ21" i="1"/>
  <c r="SO21" i="1"/>
  <c r="SM21" i="1"/>
  <c r="SK21" i="1"/>
  <c r="SI21" i="1"/>
  <c r="SG21" i="1"/>
  <c r="SE21" i="1"/>
  <c r="SC21" i="1"/>
  <c r="SA21" i="1"/>
  <c r="RY21" i="1"/>
  <c r="RW21" i="1"/>
  <c r="RU21" i="1"/>
  <c r="RS21" i="1"/>
  <c r="RQ21" i="1"/>
  <c r="RO21" i="1"/>
  <c r="RM21" i="1"/>
  <c r="RK21" i="1"/>
  <c r="RI21" i="1"/>
  <c r="RG21" i="1"/>
  <c r="RE21" i="1"/>
  <c r="RC21" i="1"/>
  <c r="RA21" i="1"/>
  <c r="QY21" i="1"/>
  <c r="QW21" i="1"/>
  <c r="QU21" i="1"/>
  <c r="QS21" i="1"/>
  <c r="QQ21" i="1"/>
  <c r="QO21" i="1"/>
  <c r="QM21" i="1"/>
  <c r="QK21" i="1"/>
  <c r="QI21" i="1"/>
  <c r="QG21" i="1"/>
  <c r="QE21" i="1"/>
  <c r="QC21" i="1"/>
  <c r="QA21" i="1"/>
  <c r="PY21" i="1"/>
  <c r="PW21" i="1"/>
  <c r="PU21" i="1"/>
  <c r="PS21" i="1"/>
  <c r="PQ21" i="1"/>
  <c r="PO21" i="1"/>
  <c r="PM21" i="1"/>
  <c r="PK21" i="1"/>
  <c r="PI21" i="1"/>
  <c r="PG21" i="1"/>
  <c r="PE21" i="1"/>
  <c r="PC21" i="1"/>
  <c r="PA21" i="1"/>
  <c r="OY21" i="1"/>
  <c r="OW21" i="1"/>
  <c r="OU21" i="1"/>
  <c r="OS21" i="1"/>
  <c r="OQ21" i="1"/>
  <c r="OO21" i="1"/>
  <c r="OM21" i="1"/>
  <c r="OK21" i="1"/>
  <c r="OI21" i="1"/>
  <c r="OG21" i="1"/>
  <c r="OE21" i="1"/>
  <c r="OC21" i="1"/>
  <c r="OA21" i="1"/>
  <c r="NY21" i="1"/>
  <c r="NW21" i="1"/>
  <c r="NU21" i="1"/>
  <c r="NS21" i="1"/>
  <c r="NQ21" i="1"/>
  <c r="NO21" i="1"/>
  <c r="NM21" i="1"/>
  <c r="NK21" i="1"/>
  <c r="NI21" i="1"/>
  <c r="NG21" i="1"/>
  <c r="NE21" i="1"/>
  <c r="NC21" i="1"/>
  <c r="NA21" i="1"/>
  <c r="MY21" i="1"/>
  <c r="MW21" i="1"/>
  <c r="MU21" i="1"/>
  <c r="MS21" i="1"/>
  <c r="MQ21" i="1"/>
  <c r="MO21" i="1"/>
  <c r="MM21" i="1"/>
  <c r="MK21" i="1"/>
  <c r="MI21" i="1"/>
  <c r="MG21" i="1"/>
  <c r="ME21" i="1"/>
  <c r="MC21" i="1"/>
  <c r="MA21" i="1"/>
  <c r="LY21" i="1"/>
  <c r="LW21" i="1"/>
  <c r="LU21" i="1"/>
  <c r="LS21" i="1"/>
  <c r="LQ21" i="1"/>
  <c r="LO21" i="1"/>
  <c r="LM21" i="1"/>
  <c r="LK21" i="1"/>
  <c r="LI21" i="1"/>
  <c r="LG21" i="1"/>
  <c r="LE21" i="1"/>
  <c r="LC21" i="1"/>
  <c r="LA21" i="1"/>
  <c r="KY21" i="1"/>
  <c r="KW21" i="1"/>
  <c r="KU21" i="1"/>
  <c r="KS21" i="1"/>
  <c r="KQ21" i="1"/>
  <c r="KO21" i="1"/>
  <c r="KM21" i="1"/>
  <c r="KK21" i="1"/>
  <c r="KI21" i="1"/>
  <c r="KG21" i="1"/>
  <c r="KE21" i="1"/>
  <c r="KC21" i="1"/>
  <c r="KA21" i="1"/>
  <c r="JY21" i="1"/>
  <c r="JW21" i="1"/>
  <c r="JU21" i="1"/>
  <c r="JS21" i="1"/>
  <c r="JQ21" i="1"/>
  <c r="JO21" i="1"/>
  <c r="JM21" i="1"/>
  <c r="JK21" i="1"/>
  <c r="JI21" i="1"/>
  <c r="JG21" i="1"/>
  <c r="JE21" i="1"/>
  <c r="JC21" i="1"/>
  <c r="JA21" i="1"/>
  <c r="IY21" i="1"/>
  <c r="IW21" i="1"/>
  <c r="IU21" i="1"/>
  <c r="IS21" i="1"/>
  <c r="IQ21" i="1"/>
  <c r="IO21" i="1"/>
  <c r="IM21" i="1"/>
  <c r="IK21" i="1"/>
  <c r="II21" i="1"/>
  <c r="IG21" i="1"/>
  <c r="IE21" i="1"/>
  <c r="IC21" i="1"/>
  <c r="IA21" i="1"/>
  <c r="HY21" i="1"/>
  <c r="HW21" i="1"/>
  <c r="HU21" i="1"/>
  <c r="HS21" i="1"/>
  <c r="HQ21" i="1"/>
  <c r="HO21" i="1"/>
  <c r="HM21" i="1"/>
  <c r="HK21" i="1"/>
  <c r="HI21" i="1"/>
  <c r="HG21" i="1"/>
  <c r="HE21" i="1"/>
  <c r="HC21" i="1"/>
  <c r="HA21" i="1"/>
  <c r="GY21" i="1"/>
  <c r="GW21" i="1"/>
  <c r="GU21" i="1"/>
  <c r="GS21" i="1"/>
  <c r="GQ21" i="1"/>
  <c r="GO21" i="1"/>
  <c r="GM21" i="1"/>
  <c r="GK21" i="1"/>
  <c r="GI21" i="1"/>
  <c r="GG21" i="1"/>
  <c r="GE21" i="1"/>
  <c r="GC21" i="1"/>
  <c r="GA21" i="1"/>
  <c r="FY21" i="1"/>
  <c r="FW21" i="1"/>
  <c r="FU21" i="1"/>
  <c r="FS21" i="1"/>
  <c r="FQ21" i="1"/>
  <c r="FO21" i="1"/>
  <c r="FM21" i="1"/>
  <c r="FK21" i="1"/>
  <c r="FI21" i="1"/>
  <c r="FG21" i="1"/>
  <c r="FE21" i="1"/>
  <c r="FC21" i="1"/>
  <c r="FA21" i="1"/>
  <c r="EY21" i="1"/>
  <c r="EW21" i="1"/>
  <c r="EU21" i="1"/>
  <c r="ES21" i="1"/>
  <c r="EQ21" i="1"/>
  <c r="EO21" i="1"/>
  <c r="EM21" i="1"/>
  <c r="EK21" i="1"/>
  <c r="EI21" i="1"/>
  <c r="EG21" i="1"/>
  <c r="EE21" i="1"/>
  <c r="EC21" i="1"/>
  <c r="EA21" i="1"/>
  <c r="DY21" i="1"/>
  <c r="DW21" i="1"/>
  <c r="DU21" i="1"/>
  <c r="DS21" i="1"/>
  <c r="DQ21" i="1"/>
  <c r="DO21" i="1"/>
  <c r="DM21" i="1"/>
  <c r="DK21" i="1"/>
  <c r="DI21" i="1"/>
  <c r="DG21" i="1"/>
  <c r="DE21" i="1"/>
  <c r="DC21" i="1"/>
  <c r="DA21" i="1"/>
  <c r="CU21" i="1"/>
  <c r="CS21" i="1"/>
  <c r="CQ21" i="1"/>
  <c r="CO21" i="1"/>
  <c r="CM21" i="1"/>
  <c r="CK21" i="1"/>
  <c r="CI21" i="1"/>
  <c r="CG21" i="1"/>
  <c r="CE21" i="1"/>
  <c r="CC21" i="1"/>
  <c r="CA21" i="1"/>
  <c r="BY21" i="1"/>
  <c r="BW21" i="1"/>
  <c r="BU21" i="1"/>
  <c r="BS21" i="1"/>
  <c r="BQ21" i="1"/>
  <c r="BO21" i="1"/>
  <c r="BM21" i="1"/>
  <c r="BK21" i="1"/>
  <c r="BI21" i="1"/>
  <c r="BG21" i="1"/>
  <c r="BE21" i="1"/>
  <c r="BC21" i="1"/>
  <c r="BA21" i="1"/>
  <c r="AY21" i="1"/>
  <c r="AW21" i="1"/>
  <c r="AU21" i="1"/>
  <c r="AS21" i="1"/>
  <c r="AQ21" i="1"/>
  <c r="AO21" i="1"/>
  <c r="AM21" i="1"/>
  <c r="AK21" i="1"/>
  <c r="AI21" i="1"/>
  <c r="AG21" i="1"/>
  <c r="AE21" i="1"/>
  <c r="AC21" i="1"/>
  <c r="AA21" i="1"/>
  <c r="Y21" i="1"/>
  <c r="W21" i="1"/>
  <c r="U21" i="1"/>
  <c r="S21" i="1"/>
  <c r="Q21" i="1"/>
  <c r="O21" i="1"/>
  <c r="M21" i="1"/>
  <c r="K21" i="1"/>
  <c r="I21" i="1"/>
  <c r="SS16" i="1"/>
  <c r="SQ16" i="1"/>
  <c r="SO16" i="1"/>
  <c r="SM16" i="1"/>
  <c r="SK16" i="1"/>
  <c r="SI16" i="1"/>
  <c r="SG16" i="1"/>
  <c r="SE16" i="1"/>
  <c r="SC16" i="1"/>
  <c r="SA16" i="1"/>
  <c r="RY16" i="1"/>
  <c r="RW16" i="1"/>
  <c r="RU16" i="1"/>
  <c r="RS16" i="1"/>
  <c r="RQ16" i="1"/>
  <c r="RO16" i="1"/>
  <c r="RM16" i="1"/>
  <c r="RK16" i="1"/>
  <c r="RI16" i="1"/>
  <c r="RG16" i="1"/>
  <c r="RE16" i="1"/>
  <c r="RC16" i="1"/>
  <c r="RA16" i="1"/>
  <c r="QY16" i="1"/>
  <c r="QW16" i="1"/>
  <c r="QU16" i="1"/>
  <c r="QS16" i="1"/>
  <c r="QQ16" i="1"/>
  <c r="QO16" i="1"/>
  <c r="QM16" i="1"/>
  <c r="QK16" i="1"/>
  <c r="QI16" i="1"/>
  <c r="QG16" i="1"/>
  <c r="QE16" i="1"/>
  <c r="QC16" i="1"/>
  <c r="QA16" i="1"/>
  <c r="PY16" i="1"/>
  <c r="PW16" i="1"/>
  <c r="PU16" i="1"/>
  <c r="PS16" i="1"/>
  <c r="PQ16" i="1"/>
  <c r="PO16" i="1"/>
  <c r="PM16" i="1"/>
  <c r="PK16" i="1"/>
  <c r="PI16" i="1"/>
  <c r="PG16" i="1"/>
  <c r="PE16" i="1"/>
  <c r="PC16" i="1"/>
  <c r="PA16" i="1"/>
  <c r="OY16" i="1"/>
  <c r="OW16" i="1"/>
  <c r="OU16" i="1"/>
  <c r="OS16" i="1"/>
  <c r="OQ16" i="1"/>
  <c r="OO16" i="1"/>
  <c r="OM16" i="1"/>
  <c r="OK16" i="1"/>
  <c r="OI16" i="1"/>
  <c r="OG16" i="1"/>
  <c r="OE16" i="1"/>
  <c r="OC16" i="1"/>
  <c r="OA16" i="1"/>
  <c r="NY16" i="1"/>
  <c r="NW16" i="1"/>
  <c r="NU16" i="1"/>
  <c r="NS16" i="1"/>
  <c r="NQ16" i="1"/>
  <c r="NO16" i="1"/>
  <c r="NM16" i="1"/>
  <c r="NK16" i="1"/>
  <c r="NI16" i="1"/>
  <c r="NG16" i="1"/>
  <c r="NE16" i="1"/>
  <c r="NC16" i="1"/>
  <c r="NA16" i="1"/>
  <c r="MY16" i="1"/>
  <c r="MW16" i="1"/>
  <c r="MU16" i="1"/>
  <c r="MS16" i="1"/>
  <c r="MQ16" i="1"/>
  <c r="MO16" i="1"/>
  <c r="MM16" i="1"/>
  <c r="MK16" i="1"/>
  <c r="MI16" i="1"/>
  <c r="MG16" i="1"/>
  <c r="ME16" i="1"/>
  <c r="MC16" i="1"/>
  <c r="MA16" i="1"/>
  <c r="LY16" i="1"/>
  <c r="LW16" i="1"/>
  <c r="LU16" i="1"/>
  <c r="LS16" i="1"/>
  <c r="LQ16" i="1"/>
  <c r="LO16" i="1"/>
  <c r="LM16" i="1"/>
  <c r="LK16" i="1"/>
  <c r="LI16" i="1"/>
  <c r="LG16" i="1"/>
  <c r="LE16" i="1"/>
  <c r="LC16" i="1"/>
  <c r="LA16" i="1"/>
  <c r="KY16" i="1"/>
  <c r="KW16" i="1"/>
  <c r="KU16" i="1"/>
  <c r="KS16" i="1"/>
  <c r="KQ16" i="1"/>
  <c r="KO16" i="1"/>
  <c r="KM16" i="1"/>
  <c r="KK16" i="1"/>
  <c r="KI16" i="1"/>
  <c r="KG16" i="1"/>
  <c r="KE16" i="1"/>
  <c r="KC16" i="1"/>
  <c r="KA16" i="1"/>
  <c r="JY16" i="1"/>
  <c r="JW16" i="1"/>
  <c r="JU16" i="1"/>
  <c r="JS16" i="1"/>
  <c r="JQ16" i="1"/>
  <c r="JO16" i="1"/>
  <c r="JM16" i="1"/>
  <c r="JK16" i="1"/>
  <c r="JI16" i="1"/>
  <c r="JG16" i="1"/>
  <c r="JE16" i="1"/>
  <c r="JC16" i="1"/>
  <c r="JA16" i="1"/>
  <c r="IY16" i="1"/>
  <c r="IW16" i="1"/>
  <c r="IU16" i="1"/>
  <c r="IS16" i="1"/>
  <c r="IQ16" i="1"/>
  <c r="IO16" i="1"/>
  <c r="IM16" i="1"/>
  <c r="IK16" i="1"/>
  <c r="II16" i="1"/>
  <c r="IG16" i="1"/>
  <c r="IE16" i="1"/>
  <c r="IC16" i="1"/>
  <c r="IA16" i="1"/>
  <c r="HY16" i="1"/>
  <c r="HW16" i="1"/>
  <c r="HU16" i="1"/>
  <c r="HS16" i="1"/>
  <c r="HQ16" i="1"/>
  <c r="HO16" i="1"/>
  <c r="HM16" i="1"/>
  <c r="HK16" i="1"/>
  <c r="HI16" i="1"/>
  <c r="HG16" i="1"/>
  <c r="HE16" i="1"/>
  <c r="HC16" i="1"/>
  <c r="HA16" i="1"/>
  <c r="GY16" i="1"/>
  <c r="GW16" i="1"/>
  <c r="GU16" i="1"/>
  <c r="GS16" i="1"/>
  <c r="GQ16" i="1"/>
  <c r="GO16" i="1"/>
  <c r="GM16" i="1"/>
  <c r="GK16" i="1"/>
  <c r="GI16" i="1"/>
  <c r="GG16" i="1"/>
  <c r="GE16" i="1"/>
  <c r="GC16" i="1"/>
  <c r="GA16" i="1"/>
  <c r="FY16" i="1"/>
  <c r="FW16" i="1"/>
  <c r="FU16" i="1"/>
  <c r="FS16" i="1"/>
  <c r="FQ16" i="1"/>
  <c r="FO16" i="1"/>
  <c r="FM16" i="1"/>
  <c r="FK16" i="1"/>
  <c r="FI16" i="1"/>
  <c r="FG16" i="1"/>
  <c r="FE16" i="1"/>
  <c r="FC16" i="1"/>
  <c r="FA16" i="1"/>
  <c r="EY16" i="1"/>
  <c r="EW16" i="1"/>
  <c r="EU16" i="1"/>
  <c r="ES16" i="1"/>
  <c r="EQ16" i="1"/>
  <c r="EO16" i="1"/>
  <c r="EM16" i="1"/>
  <c r="EK16" i="1"/>
  <c r="EI16" i="1"/>
  <c r="EG16" i="1"/>
  <c r="EE16" i="1"/>
  <c r="EC16" i="1"/>
  <c r="EA16" i="1"/>
  <c r="DY16" i="1"/>
  <c r="DW16" i="1"/>
  <c r="CU16" i="1"/>
  <c r="CS16" i="1"/>
  <c r="CQ16" i="1"/>
  <c r="CO16" i="1"/>
  <c r="CM16" i="1"/>
  <c r="CK16" i="1"/>
  <c r="CI16" i="1"/>
  <c r="CG16" i="1"/>
  <c r="CE16" i="1"/>
  <c r="CC16" i="1"/>
  <c r="CA16" i="1"/>
  <c r="BY16" i="1"/>
  <c r="BW16" i="1"/>
  <c r="BU16" i="1"/>
  <c r="BS16" i="1"/>
  <c r="BQ16" i="1"/>
  <c r="BO16" i="1"/>
  <c r="BM16" i="1"/>
  <c r="BK16" i="1"/>
  <c r="BI16" i="1"/>
  <c r="BG16" i="1"/>
  <c r="BE16" i="1"/>
  <c r="BC16" i="1"/>
  <c r="BA16" i="1"/>
  <c r="AY16" i="1"/>
  <c r="AW16" i="1"/>
  <c r="AU16" i="1"/>
  <c r="AS16" i="1"/>
  <c r="AQ16" i="1"/>
  <c r="AO16" i="1"/>
  <c r="AM16" i="1"/>
  <c r="AK16" i="1"/>
  <c r="AI16" i="1"/>
  <c r="AG16" i="1"/>
  <c r="AE16" i="1"/>
  <c r="AC16" i="1"/>
  <c r="AA16" i="1"/>
  <c r="Y16" i="1"/>
  <c r="W16" i="1"/>
  <c r="U16" i="1"/>
  <c r="S16" i="1"/>
  <c r="Q16" i="1"/>
  <c r="O16" i="1"/>
  <c r="M16" i="1"/>
  <c r="K16" i="1"/>
  <c r="I16" i="1"/>
  <c r="SS15" i="1"/>
  <c r="SQ15" i="1"/>
  <c r="SO15" i="1"/>
  <c r="SM15" i="1"/>
  <c r="SK15" i="1"/>
  <c r="SI15" i="1"/>
  <c r="SG15" i="1"/>
  <c r="SE15" i="1"/>
  <c r="SC15" i="1"/>
  <c r="SA15" i="1"/>
  <c r="RY15" i="1"/>
  <c r="RW15" i="1"/>
  <c r="RU15" i="1"/>
  <c r="RS15" i="1"/>
  <c r="RQ15" i="1"/>
  <c r="RO15" i="1"/>
  <c r="RM15" i="1"/>
  <c r="RK15" i="1"/>
  <c r="RI15" i="1"/>
  <c r="RG15" i="1"/>
  <c r="RE15" i="1"/>
  <c r="RC15" i="1"/>
  <c r="RA15" i="1"/>
  <c r="QY15" i="1"/>
  <c r="QW15" i="1"/>
  <c r="QU15" i="1"/>
  <c r="QS15" i="1"/>
  <c r="QQ15" i="1"/>
  <c r="QO15" i="1"/>
  <c r="QM15" i="1"/>
  <c r="QK15" i="1"/>
  <c r="QI15" i="1"/>
  <c r="QG15" i="1"/>
  <c r="QE15" i="1"/>
  <c r="QC15" i="1"/>
  <c r="QA15" i="1"/>
  <c r="PY15" i="1"/>
  <c r="PW15" i="1"/>
  <c r="PU15" i="1"/>
  <c r="PS15" i="1"/>
  <c r="PQ15" i="1"/>
  <c r="PO15" i="1"/>
  <c r="PM15" i="1"/>
  <c r="PK15" i="1"/>
  <c r="PI15" i="1"/>
  <c r="PG15" i="1"/>
  <c r="PE15" i="1"/>
  <c r="PC15" i="1"/>
  <c r="PA15" i="1"/>
  <c r="OY15" i="1"/>
  <c r="OW15" i="1"/>
  <c r="OU15" i="1"/>
  <c r="OS15" i="1"/>
  <c r="OQ15" i="1"/>
  <c r="OO15" i="1"/>
  <c r="OM15" i="1"/>
  <c r="OK15" i="1"/>
  <c r="OI15" i="1"/>
  <c r="OG15" i="1"/>
  <c r="OE15" i="1"/>
  <c r="OC15" i="1"/>
  <c r="OA15" i="1"/>
  <c r="NY15" i="1"/>
  <c r="NW15" i="1"/>
  <c r="NU15" i="1"/>
  <c r="NS15" i="1"/>
  <c r="NQ15" i="1"/>
  <c r="NO15" i="1"/>
  <c r="NM15" i="1"/>
  <c r="NK15" i="1"/>
  <c r="NI15" i="1"/>
  <c r="NG15" i="1"/>
  <c r="NE15" i="1"/>
  <c r="NC15" i="1"/>
  <c r="NA15" i="1"/>
  <c r="MY15" i="1"/>
  <c r="MW15" i="1"/>
  <c r="MU15" i="1"/>
  <c r="MS15" i="1"/>
  <c r="MQ15" i="1"/>
  <c r="MO15" i="1"/>
  <c r="MM15" i="1"/>
  <c r="MK15" i="1"/>
  <c r="MI15" i="1"/>
  <c r="MG15" i="1"/>
  <c r="ME15" i="1"/>
  <c r="MC15" i="1"/>
  <c r="MA15" i="1"/>
  <c r="LY15" i="1"/>
  <c r="LW15" i="1"/>
  <c r="LU15" i="1"/>
  <c r="LS15" i="1"/>
  <c r="LQ15" i="1"/>
  <c r="LO15" i="1"/>
  <c r="LM15" i="1"/>
  <c r="LK15" i="1"/>
  <c r="LI15" i="1"/>
  <c r="LG15" i="1"/>
  <c r="LE15" i="1"/>
  <c r="LC15" i="1"/>
  <c r="LA15" i="1"/>
  <c r="KY15" i="1"/>
  <c r="KW15" i="1"/>
  <c r="KU15" i="1"/>
  <c r="KS15" i="1"/>
  <c r="KQ15" i="1"/>
  <c r="KO15" i="1"/>
  <c r="KM15" i="1"/>
  <c r="KK15" i="1"/>
  <c r="KI15" i="1"/>
  <c r="KG15" i="1"/>
  <c r="KE15" i="1"/>
  <c r="KC15" i="1"/>
  <c r="KA15" i="1"/>
  <c r="JY15" i="1"/>
  <c r="JW15" i="1"/>
  <c r="JU15" i="1"/>
  <c r="JS15" i="1"/>
  <c r="JQ15" i="1"/>
  <c r="JO15" i="1"/>
  <c r="JM15" i="1"/>
  <c r="JK15" i="1"/>
  <c r="JI15" i="1"/>
  <c r="JG15" i="1"/>
  <c r="JE15" i="1"/>
  <c r="JC15" i="1"/>
  <c r="JA15" i="1"/>
  <c r="IY15" i="1"/>
  <c r="IW15" i="1"/>
  <c r="IU15" i="1"/>
  <c r="IS15" i="1"/>
  <c r="IQ15" i="1"/>
  <c r="IO15" i="1"/>
  <c r="IM15" i="1"/>
  <c r="IK15" i="1"/>
  <c r="II15" i="1"/>
  <c r="IG15" i="1"/>
  <c r="IE15" i="1"/>
  <c r="IC15" i="1"/>
  <c r="IA15" i="1"/>
  <c r="HY15" i="1"/>
  <c r="HW15" i="1"/>
  <c r="HU15" i="1"/>
  <c r="HS15" i="1"/>
  <c r="HQ15" i="1"/>
  <c r="HO15" i="1"/>
  <c r="HM15" i="1"/>
  <c r="HK15" i="1"/>
  <c r="HI15" i="1"/>
  <c r="HG15" i="1"/>
  <c r="HE15" i="1"/>
  <c r="HC15" i="1"/>
  <c r="HA15" i="1"/>
  <c r="GY15" i="1"/>
  <c r="GW15" i="1"/>
  <c r="GU15" i="1"/>
  <c r="GS15" i="1"/>
  <c r="GQ15" i="1"/>
  <c r="GO15" i="1"/>
  <c r="GM15" i="1"/>
  <c r="GK15" i="1"/>
  <c r="GI15" i="1"/>
  <c r="GG15" i="1"/>
  <c r="GE15" i="1"/>
  <c r="GC15" i="1"/>
  <c r="GA15" i="1"/>
  <c r="FY15" i="1"/>
  <c r="FW15" i="1"/>
  <c r="FU15" i="1"/>
  <c r="FS15" i="1"/>
  <c r="FQ15" i="1"/>
  <c r="FO15" i="1"/>
  <c r="FM15" i="1"/>
  <c r="FK15" i="1"/>
  <c r="FI15" i="1"/>
  <c r="FG15" i="1"/>
  <c r="FE15" i="1"/>
  <c r="FC15" i="1"/>
  <c r="FA15" i="1"/>
  <c r="EY15" i="1"/>
  <c r="EW15" i="1"/>
  <c r="EU15" i="1"/>
  <c r="ES15" i="1"/>
  <c r="EQ15" i="1"/>
  <c r="EO15" i="1"/>
  <c r="EM15" i="1"/>
  <c r="EK15" i="1"/>
  <c r="EI15" i="1"/>
  <c r="EG15" i="1"/>
  <c r="EE15" i="1"/>
  <c r="EC15" i="1"/>
  <c r="EA15" i="1"/>
  <c r="DY15" i="1"/>
  <c r="DW15" i="1"/>
  <c r="CU15" i="1"/>
  <c r="CS15" i="1"/>
  <c r="CQ15" i="1"/>
  <c r="CO15" i="1"/>
  <c r="CM15" i="1"/>
  <c r="CK15" i="1"/>
  <c r="CI15" i="1"/>
  <c r="CG15" i="1"/>
  <c r="CE15" i="1"/>
  <c r="CC15" i="1"/>
  <c r="CA15" i="1"/>
  <c r="BY15" i="1"/>
  <c r="BW15" i="1"/>
  <c r="BU15" i="1"/>
  <c r="BS15" i="1"/>
  <c r="BQ15" i="1"/>
  <c r="BO15" i="1"/>
  <c r="BM15" i="1"/>
  <c r="BK15" i="1"/>
  <c r="BI15" i="1"/>
  <c r="BG15" i="1"/>
  <c r="BE15" i="1"/>
  <c r="BC15" i="1"/>
  <c r="BA15" i="1"/>
  <c r="AY15" i="1"/>
  <c r="AW15" i="1"/>
  <c r="AU15" i="1"/>
  <c r="AS15" i="1"/>
  <c r="AQ15" i="1"/>
  <c r="AO15" i="1"/>
  <c r="AM15" i="1"/>
  <c r="AK15" i="1"/>
  <c r="AI15" i="1"/>
  <c r="AG15" i="1"/>
  <c r="AE15" i="1"/>
  <c r="AC15" i="1"/>
  <c r="AA15" i="1"/>
  <c r="Y15" i="1"/>
  <c r="W15" i="1"/>
  <c r="U15" i="1"/>
  <c r="S15" i="1"/>
  <c r="Q15" i="1"/>
  <c r="O15" i="1"/>
  <c r="M15" i="1"/>
  <c r="K15" i="1"/>
  <c r="I15" i="1"/>
  <c r="SS14" i="1"/>
  <c r="SQ14" i="1"/>
  <c r="SO14" i="1"/>
  <c r="SM14" i="1"/>
  <c r="SK14" i="1"/>
  <c r="SI14" i="1"/>
  <c r="SG14" i="1"/>
  <c r="SE14" i="1"/>
  <c r="SC14" i="1"/>
  <c r="SA14" i="1"/>
  <c r="RY14" i="1"/>
  <c r="RW14" i="1"/>
  <c r="RU14" i="1"/>
  <c r="RS14" i="1"/>
  <c r="RQ14" i="1"/>
  <c r="RO14" i="1"/>
  <c r="RM14" i="1"/>
  <c r="RK14" i="1"/>
  <c r="RI14" i="1"/>
  <c r="RG14" i="1"/>
  <c r="RE14" i="1"/>
  <c r="RC14" i="1"/>
  <c r="RA14" i="1"/>
  <c r="QY14" i="1"/>
  <c r="QW14" i="1"/>
  <c r="QU14" i="1"/>
  <c r="QS14" i="1"/>
  <c r="QQ14" i="1"/>
  <c r="QO14" i="1"/>
  <c r="QM14" i="1"/>
  <c r="QK14" i="1"/>
  <c r="QI14" i="1"/>
  <c r="QG14" i="1"/>
  <c r="QE14" i="1"/>
  <c r="QC14" i="1"/>
  <c r="QA14" i="1"/>
  <c r="PY14" i="1"/>
  <c r="PW14" i="1"/>
  <c r="PU14" i="1"/>
  <c r="PS14" i="1"/>
  <c r="PQ14" i="1"/>
  <c r="PO14" i="1"/>
  <c r="PM14" i="1"/>
  <c r="PK14" i="1"/>
  <c r="PI14" i="1"/>
  <c r="PG14" i="1"/>
  <c r="PE14" i="1"/>
  <c r="PC14" i="1"/>
  <c r="PA14" i="1"/>
  <c r="OY14" i="1"/>
  <c r="OW14" i="1"/>
  <c r="OU14" i="1"/>
  <c r="OS14" i="1"/>
  <c r="OQ14" i="1"/>
  <c r="OO14" i="1"/>
  <c r="OM14" i="1"/>
  <c r="OK14" i="1"/>
  <c r="OI14" i="1"/>
  <c r="OG14" i="1"/>
  <c r="OE14" i="1"/>
  <c r="OC14" i="1"/>
  <c r="OA14" i="1"/>
  <c r="NY14" i="1"/>
  <c r="NW14" i="1"/>
  <c r="NU14" i="1"/>
  <c r="NS14" i="1"/>
  <c r="NQ14" i="1"/>
  <c r="NO14" i="1"/>
  <c r="NM14" i="1"/>
  <c r="NK14" i="1"/>
  <c r="NI14" i="1"/>
  <c r="NG14" i="1"/>
  <c r="NE14" i="1"/>
  <c r="NC14" i="1"/>
  <c r="NA14" i="1"/>
  <c r="MY14" i="1"/>
  <c r="MW14" i="1"/>
  <c r="MU14" i="1"/>
  <c r="MS14" i="1"/>
  <c r="MQ14" i="1"/>
  <c r="MO14" i="1"/>
  <c r="MM14" i="1"/>
  <c r="MK14" i="1"/>
  <c r="MI14" i="1"/>
  <c r="MG14" i="1"/>
  <c r="ME14" i="1"/>
  <c r="MC14" i="1"/>
  <c r="MA14" i="1"/>
  <c r="LY14" i="1"/>
  <c r="LW14" i="1"/>
  <c r="LU14" i="1"/>
  <c r="LS14" i="1"/>
  <c r="LQ14" i="1"/>
  <c r="LO14" i="1"/>
  <c r="LM14" i="1"/>
  <c r="LK14" i="1"/>
  <c r="LI14" i="1"/>
  <c r="LG14" i="1"/>
  <c r="LE14" i="1"/>
  <c r="LC14" i="1"/>
  <c r="LA14" i="1"/>
  <c r="KY14" i="1"/>
  <c r="KW14" i="1"/>
  <c r="KU14" i="1"/>
  <c r="KS14" i="1"/>
  <c r="KQ14" i="1"/>
  <c r="KO14" i="1"/>
  <c r="KM14" i="1"/>
  <c r="KK14" i="1"/>
  <c r="KI14" i="1"/>
  <c r="KG14" i="1"/>
  <c r="KE14" i="1"/>
  <c r="KC14" i="1"/>
  <c r="KA14" i="1"/>
  <c r="JY14" i="1"/>
  <c r="JW14" i="1"/>
  <c r="JU14" i="1"/>
  <c r="JS14" i="1"/>
  <c r="JQ14" i="1"/>
  <c r="JO14" i="1"/>
  <c r="JM14" i="1"/>
  <c r="JK14" i="1"/>
  <c r="JI14" i="1"/>
  <c r="JG14" i="1"/>
  <c r="JE14" i="1"/>
  <c r="JC14" i="1"/>
  <c r="JA14" i="1"/>
  <c r="IY14" i="1"/>
  <c r="IW14" i="1"/>
  <c r="IU14" i="1"/>
  <c r="IS14" i="1"/>
  <c r="IQ14" i="1"/>
  <c r="IO14" i="1"/>
  <c r="IM14" i="1"/>
  <c r="IK14" i="1"/>
  <c r="II14" i="1"/>
  <c r="IG14" i="1"/>
  <c r="IE14" i="1"/>
  <c r="IC14" i="1"/>
  <c r="IA14" i="1"/>
  <c r="HY14" i="1"/>
  <c r="HW14" i="1"/>
  <c r="HU14" i="1"/>
  <c r="HS14" i="1"/>
  <c r="HQ14" i="1"/>
  <c r="HO14" i="1"/>
  <c r="HM14" i="1"/>
  <c r="HK14" i="1"/>
  <c r="HI14" i="1"/>
  <c r="HG14" i="1"/>
  <c r="HE14" i="1"/>
  <c r="HC14" i="1"/>
  <c r="HA14" i="1"/>
  <c r="GY14" i="1"/>
  <c r="GW14" i="1"/>
  <c r="GU14" i="1"/>
  <c r="GS14" i="1"/>
  <c r="GQ14" i="1"/>
  <c r="GO14" i="1"/>
  <c r="GM14" i="1"/>
  <c r="GK14" i="1"/>
  <c r="GI14" i="1"/>
  <c r="GG14" i="1"/>
  <c r="GE14" i="1"/>
  <c r="GC14" i="1"/>
  <c r="GA14" i="1"/>
  <c r="FY14" i="1"/>
  <c r="FW14" i="1"/>
  <c r="FU14" i="1"/>
  <c r="FS14" i="1"/>
  <c r="FQ14" i="1"/>
  <c r="FO14" i="1"/>
  <c r="FM14" i="1"/>
  <c r="FK14" i="1"/>
  <c r="FI14" i="1"/>
  <c r="FG14" i="1"/>
  <c r="FE14" i="1"/>
  <c r="FC14" i="1"/>
  <c r="FA14" i="1"/>
  <c r="EY14" i="1"/>
  <c r="EW14" i="1"/>
  <c r="EU14" i="1"/>
  <c r="ES14" i="1"/>
  <c r="EQ14" i="1"/>
  <c r="EO14" i="1"/>
  <c r="EM14" i="1"/>
  <c r="EK14" i="1"/>
  <c r="EI14" i="1"/>
  <c r="EG14" i="1"/>
  <c r="EE14" i="1"/>
  <c r="EC14" i="1"/>
  <c r="EA14" i="1"/>
  <c r="DY14" i="1"/>
  <c r="DW14" i="1"/>
  <c r="CU14" i="1"/>
  <c r="CS14" i="1"/>
  <c r="CQ14" i="1"/>
  <c r="CO14" i="1"/>
  <c r="CM14" i="1"/>
  <c r="CK14" i="1"/>
  <c r="CI14" i="1"/>
  <c r="CG14" i="1"/>
  <c r="CE14" i="1"/>
  <c r="CC14" i="1"/>
  <c r="CA14" i="1"/>
  <c r="BY14" i="1"/>
  <c r="BW14" i="1"/>
  <c r="BU14" i="1"/>
  <c r="BS14" i="1"/>
  <c r="BQ14" i="1"/>
  <c r="BO14" i="1"/>
  <c r="BM14" i="1"/>
  <c r="BK14" i="1"/>
  <c r="BI14" i="1"/>
  <c r="BG14" i="1"/>
  <c r="BE14" i="1"/>
  <c r="BC14" i="1"/>
  <c r="BA14" i="1"/>
  <c r="AY14" i="1"/>
  <c r="AW14" i="1"/>
  <c r="AU14" i="1"/>
  <c r="AS14" i="1"/>
  <c r="AQ14" i="1"/>
  <c r="AO14" i="1"/>
  <c r="AM14" i="1"/>
  <c r="AK14" i="1"/>
  <c r="AI14" i="1"/>
  <c r="AG14" i="1"/>
  <c r="AE14" i="1"/>
  <c r="AC14" i="1"/>
  <c r="AA14" i="1"/>
  <c r="Y14" i="1"/>
  <c r="W14" i="1"/>
  <c r="U14" i="1"/>
  <c r="S14" i="1"/>
  <c r="Q14" i="1"/>
  <c r="O14" i="1"/>
  <c r="M14" i="1"/>
  <c r="K14" i="1"/>
  <c r="I14" i="1"/>
  <c r="SS13" i="1"/>
  <c r="SQ13" i="1"/>
  <c r="SO13" i="1"/>
  <c r="SM13" i="1"/>
  <c r="SK13" i="1"/>
  <c r="SI13" i="1"/>
  <c r="SG13" i="1"/>
  <c r="SE13" i="1"/>
  <c r="SC13" i="1"/>
  <c r="SA13" i="1"/>
  <c r="RY13" i="1"/>
  <c r="RW13" i="1"/>
  <c r="RU13" i="1"/>
  <c r="RS13" i="1"/>
  <c r="RQ13" i="1"/>
  <c r="RO13" i="1"/>
  <c r="RM13" i="1"/>
  <c r="RK13" i="1"/>
  <c r="RI13" i="1"/>
  <c r="RG13" i="1"/>
  <c r="RE13" i="1"/>
  <c r="RC13" i="1"/>
  <c r="RA13" i="1"/>
  <c r="QY13" i="1"/>
  <c r="QW13" i="1"/>
  <c r="QU13" i="1"/>
  <c r="QS13" i="1"/>
  <c r="QQ13" i="1"/>
  <c r="QO13" i="1"/>
  <c r="QM13" i="1"/>
  <c r="QK13" i="1"/>
  <c r="QI13" i="1"/>
  <c r="QG13" i="1"/>
  <c r="QE13" i="1"/>
  <c r="QC13" i="1"/>
  <c r="QA13" i="1"/>
  <c r="PY13" i="1"/>
  <c r="PW13" i="1"/>
  <c r="PU13" i="1"/>
  <c r="PS13" i="1"/>
  <c r="PQ13" i="1"/>
  <c r="PO13" i="1"/>
  <c r="PM13" i="1"/>
  <c r="PK13" i="1"/>
  <c r="PI13" i="1"/>
  <c r="PG13" i="1"/>
  <c r="PE13" i="1"/>
  <c r="PC13" i="1"/>
  <c r="PA13" i="1"/>
  <c r="OY13" i="1"/>
  <c r="OW13" i="1"/>
  <c r="OU13" i="1"/>
  <c r="OS13" i="1"/>
  <c r="OQ13" i="1"/>
  <c r="OO13" i="1"/>
  <c r="OM13" i="1"/>
  <c r="OK13" i="1"/>
  <c r="OI13" i="1"/>
  <c r="OG13" i="1"/>
  <c r="OE13" i="1"/>
  <c r="OC13" i="1"/>
  <c r="OA13" i="1"/>
  <c r="NY13" i="1"/>
  <c r="NW13" i="1"/>
  <c r="NU13" i="1"/>
  <c r="NS13" i="1"/>
  <c r="NQ13" i="1"/>
  <c r="NO13" i="1"/>
  <c r="NM13" i="1"/>
  <c r="NK13" i="1"/>
  <c r="NI13" i="1"/>
  <c r="NG13" i="1"/>
  <c r="NE13" i="1"/>
  <c r="NC13" i="1"/>
  <c r="NA13" i="1"/>
  <c r="MY13" i="1"/>
  <c r="MW13" i="1"/>
  <c r="MU13" i="1"/>
  <c r="MS13" i="1"/>
  <c r="MQ13" i="1"/>
  <c r="MO13" i="1"/>
  <c r="MM13" i="1"/>
  <c r="MK13" i="1"/>
  <c r="MI13" i="1"/>
  <c r="MG13" i="1"/>
  <c r="ME13" i="1"/>
  <c r="MC13" i="1"/>
  <c r="MA13" i="1"/>
  <c r="LY13" i="1"/>
  <c r="LW13" i="1"/>
  <c r="LU13" i="1"/>
  <c r="LS13" i="1"/>
  <c r="LQ13" i="1"/>
  <c r="LO13" i="1"/>
  <c r="LM13" i="1"/>
  <c r="LK13" i="1"/>
  <c r="LI13" i="1"/>
  <c r="LG13" i="1"/>
  <c r="LE13" i="1"/>
  <c r="LC13" i="1"/>
  <c r="LA13" i="1"/>
  <c r="KY13" i="1"/>
  <c r="KW13" i="1"/>
  <c r="KU13" i="1"/>
  <c r="KS13" i="1"/>
  <c r="KQ13" i="1"/>
  <c r="KO13" i="1"/>
  <c r="KM13" i="1"/>
  <c r="KK13" i="1"/>
  <c r="KI13" i="1"/>
  <c r="KG13" i="1"/>
  <c r="KE13" i="1"/>
  <c r="KC13" i="1"/>
  <c r="KA13" i="1"/>
  <c r="JY13" i="1"/>
  <c r="JW13" i="1"/>
  <c r="JU13" i="1"/>
  <c r="JS13" i="1"/>
  <c r="JQ13" i="1"/>
  <c r="JO13" i="1"/>
  <c r="JM13" i="1"/>
  <c r="JK13" i="1"/>
  <c r="JI13" i="1"/>
  <c r="JG13" i="1"/>
  <c r="JE13" i="1"/>
  <c r="JC13" i="1"/>
  <c r="JA13" i="1"/>
  <c r="IY13" i="1"/>
  <c r="IW13" i="1"/>
  <c r="IU13" i="1"/>
  <c r="IS13" i="1"/>
  <c r="IQ13" i="1"/>
  <c r="IO13" i="1"/>
  <c r="IM13" i="1"/>
  <c r="IK13" i="1"/>
  <c r="II13" i="1"/>
  <c r="IG13" i="1"/>
  <c r="IE13" i="1"/>
  <c r="IC13" i="1"/>
  <c r="IA13" i="1"/>
  <c r="HY13" i="1"/>
  <c r="HW13" i="1"/>
  <c r="HU13" i="1"/>
  <c r="HS13" i="1"/>
  <c r="HQ13" i="1"/>
  <c r="HO13" i="1"/>
  <c r="HM13" i="1"/>
  <c r="HK13" i="1"/>
  <c r="HI13" i="1"/>
  <c r="HG13" i="1"/>
  <c r="HE13" i="1"/>
  <c r="HC13" i="1"/>
  <c r="HA13" i="1"/>
  <c r="GY13" i="1"/>
  <c r="GW13" i="1"/>
  <c r="GU13" i="1"/>
  <c r="GS13" i="1"/>
  <c r="GQ13" i="1"/>
  <c r="GO13" i="1"/>
  <c r="GM13" i="1"/>
  <c r="GK13" i="1"/>
  <c r="GI13" i="1"/>
  <c r="GG13" i="1"/>
  <c r="GE13" i="1"/>
  <c r="GC13" i="1"/>
  <c r="GA13" i="1"/>
  <c r="FY13" i="1"/>
  <c r="FW13" i="1"/>
  <c r="FU13" i="1"/>
  <c r="FS13" i="1"/>
  <c r="FQ13" i="1"/>
  <c r="FO13" i="1"/>
  <c r="FM13" i="1"/>
  <c r="FK13" i="1"/>
  <c r="FI13" i="1"/>
  <c r="FG13" i="1"/>
  <c r="FE13" i="1"/>
  <c r="FC13" i="1"/>
  <c r="FA13" i="1"/>
  <c r="EY13" i="1"/>
  <c r="EW13" i="1"/>
  <c r="EU13" i="1"/>
  <c r="ES13" i="1"/>
  <c r="EQ13" i="1"/>
  <c r="EO13" i="1"/>
  <c r="EM13" i="1"/>
  <c r="EK13" i="1"/>
  <c r="EI13" i="1"/>
  <c r="EG13" i="1"/>
  <c r="EE13" i="1"/>
  <c r="EC13" i="1"/>
  <c r="EA13" i="1"/>
  <c r="DY13" i="1"/>
  <c r="DW13" i="1"/>
  <c r="DU13" i="1"/>
  <c r="DS13" i="1"/>
  <c r="DQ13" i="1"/>
  <c r="DO13" i="1"/>
  <c r="DM13" i="1"/>
  <c r="DK13" i="1"/>
  <c r="DI13" i="1"/>
  <c r="DG13" i="1"/>
  <c r="DE13" i="1"/>
  <c r="DC13" i="1"/>
  <c r="DA13" i="1"/>
  <c r="CU13" i="1"/>
  <c r="CS13" i="1"/>
  <c r="CQ13" i="1"/>
  <c r="CO13" i="1"/>
  <c r="CM13" i="1"/>
  <c r="CK13" i="1"/>
  <c r="CI13" i="1"/>
  <c r="CG13" i="1"/>
  <c r="CE13" i="1"/>
  <c r="CC13" i="1"/>
  <c r="CA13" i="1"/>
  <c r="BY13" i="1"/>
  <c r="BW13" i="1"/>
  <c r="BU13" i="1"/>
  <c r="BS13" i="1"/>
  <c r="BQ13" i="1"/>
  <c r="BO13" i="1"/>
  <c r="BM13" i="1"/>
  <c r="BK13" i="1"/>
  <c r="BI13" i="1"/>
  <c r="BG13" i="1"/>
  <c r="BE13" i="1"/>
  <c r="BC13" i="1"/>
  <c r="BA13" i="1"/>
  <c r="AY13" i="1"/>
  <c r="AW13" i="1"/>
  <c r="AU13" i="1"/>
  <c r="AS13" i="1"/>
  <c r="AQ13" i="1"/>
  <c r="AO13" i="1"/>
  <c r="AM13" i="1"/>
  <c r="AK13" i="1"/>
  <c r="AI13" i="1"/>
  <c r="AG13" i="1"/>
  <c r="AE13" i="1"/>
  <c r="AC13" i="1"/>
  <c r="AA13" i="1"/>
  <c r="Y13" i="1"/>
  <c r="W13" i="1"/>
  <c r="U13" i="1"/>
  <c r="S13" i="1"/>
  <c r="Q13" i="1"/>
  <c r="O13" i="1"/>
  <c r="M13" i="1"/>
  <c r="K13" i="1"/>
  <c r="I13" i="1"/>
  <c r="F10" i="1"/>
  <c r="H10" i="1" s="1"/>
  <c r="J10" i="1" s="1"/>
  <c r="L10" i="1" s="1"/>
  <c r="N10" i="1" s="1"/>
  <c r="P10" i="1" s="1"/>
  <c r="R10" i="1" s="1"/>
  <c r="T10" i="1" s="1"/>
  <c r="V10" i="1" s="1"/>
  <c r="X10" i="1" s="1"/>
  <c r="Z10" i="1" s="1"/>
  <c r="AB10" i="1" s="1"/>
  <c r="AD10" i="1" s="1"/>
  <c r="AF10" i="1" s="1"/>
  <c r="AH10" i="1" s="1"/>
  <c r="AJ10" i="1" s="1"/>
  <c r="AL10" i="1" s="1"/>
  <c r="AN10" i="1" s="1"/>
  <c r="AP10" i="1" s="1"/>
  <c r="AR10" i="1" s="1"/>
  <c r="AT10" i="1" s="1"/>
  <c r="AV10" i="1" s="1"/>
  <c r="AX10" i="1" s="1"/>
  <c r="AZ10" i="1" s="1"/>
  <c r="BB10" i="1" s="1"/>
  <c r="BD10" i="1" s="1"/>
  <c r="BF10" i="1" s="1"/>
  <c r="BH10" i="1" s="1"/>
  <c r="BJ10" i="1" s="1"/>
  <c r="BL10" i="1" s="1"/>
  <c r="BN10" i="1" s="1"/>
  <c r="BP10" i="1" s="1"/>
  <c r="BR10" i="1" s="1"/>
  <c r="BT10" i="1" s="1"/>
  <c r="BV10" i="1" s="1"/>
  <c r="BX10" i="1" s="1"/>
  <c r="BZ10" i="1" s="1"/>
  <c r="CB10" i="1" s="1"/>
  <c r="CD10" i="1" s="1"/>
  <c r="CF10" i="1" s="1"/>
  <c r="CH10" i="1" s="1"/>
  <c r="CJ10" i="1" s="1"/>
  <c r="CL10" i="1" s="1"/>
  <c r="CN10" i="1" s="1"/>
  <c r="CP10" i="1" s="1"/>
  <c r="CR10" i="1" s="1"/>
  <c r="CT10" i="1" s="1"/>
  <c r="CV10" i="1" s="1"/>
  <c r="CX10" i="1" s="1"/>
  <c r="CZ10" i="1" s="1"/>
  <c r="DB10" i="1" s="1"/>
  <c r="DD10" i="1" s="1"/>
  <c r="DF10" i="1" s="1"/>
  <c r="DH10" i="1" s="1"/>
  <c r="DJ10" i="1" s="1"/>
  <c r="DL10" i="1" s="1"/>
  <c r="DN10" i="1" s="1"/>
  <c r="DP10" i="1" s="1"/>
  <c r="DR10" i="1" s="1"/>
  <c r="DT10" i="1" s="1"/>
  <c r="DV10" i="1" s="1"/>
  <c r="DX10" i="1" s="1"/>
  <c r="DZ10" i="1" s="1"/>
  <c r="EB10" i="1" s="1"/>
  <c r="ED10" i="1" s="1"/>
  <c r="EF10" i="1" s="1"/>
  <c r="EH10" i="1" s="1"/>
  <c r="EJ10" i="1" s="1"/>
  <c r="EL10" i="1" s="1"/>
  <c r="EN10" i="1" s="1"/>
  <c r="EP10" i="1" s="1"/>
  <c r="ER10" i="1" s="1"/>
  <c r="ET10" i="1" s="1"/>
  <c r="EV10" i="1" s="1"/>
  <c r="EX10" i="1" s="1"/>
  <c r="EZ10" i="1" s="1"/>
  <c r="FB10" i="1" s="1"/>
  <c r="FD10" i="1" s="1"/>
  <c r="FF10" i="1" s="1"/>
  <c r="FH10" i="1" s="1"/>
  <c r="FJ10" i="1" s="1"/>
  <c r="FL10" i="1" s="1"/>
  <c r="FN10" i="1" s="1"/>
  <c r="FP10" i="1" s="1"/>
  <c r="FR10" i="1" s="1"/>
  <c r="FT10" i="1" s="1"/>
  <c r="FV10" i="1" s="1"/>
  <c r="FX10" i="1" s="1"/>
  <c r="FZ10" i="1" s="1"/>
  <c r="GB10" i="1" s="1"/>
  <c r="GD10" i="1" s="1"/>
  <c r="GF10" i="1" s="1"/>
  <c r="GH10" i="1" s="1"/>
  <c r="GJ10" i="1" s="1"/>
  <c r="GL10" i="1" s="1"/>
  <c r="GN10" i="1" s="1"/>
  <c r="GP10" i="1" s="1"/>
  <c r="GR10" i="1" s="1"/>
  <c r="GT10" i="1" s="1"/>
  <c r="GV10" i="1" s="1"/>
  <c r="GX10" i="1" s="1"/>
  <c r="GZ10" i="1" s="1"/>
  <c r="HB10" i="1" s="1"/>
  <c r="HD10" i="1" s="1"/>
  <c r="HF10" i="1" s="1"/>
  <c r="HH10" i="1" s="1"/>
  <c r="HJ10" i="1" s="1"/>
  <c r="HL10" i="1" s="1"/>
  <c r="HN10" i="1" s="1"/>
  <c r="HP10" i="1" s="1"/>
  <c r="HR10" i="1" s="1"/>
  <c r="HT10" i="1" s="1"/>
  <c r="HV10" i="1" s="1"/>
  <c r="HX10" i="1" s="1"/>
  <c r="HZ10" i="1" s="1"/>
  <c r="IB10" i="1" s="1"/>
  <c r="ID10" i="1" s="1"/>
  <c r="IF10" i="1" s="1"/>
  <c r="IH10" i="1" s="1"/>
  <c r="IJ10" i="1" s="1"/>
  <c r="IL10" i="1" s="1"/>
  <c r="IN10" i="1" s="1"/>
  <c r="IP10" i="1" s="1"/>
  <c r="IR10" i="1" s="1"/>
  <c r="IT10" i="1" s="1"/>
  <c r="IV10" i="1" s="1"/>
  <c r="IX10" i="1" s="1"/>
  <c r="IZ10" i="1" s="1"/>
  <c r="JB10" i="1" s="1"/>
  <c r="JD10" i="1" s="1"/>
  <c r="JF10" i="1" s="1"/>
  <c r="JH10" i="1" s="1"/>
  <c r="JJ10" i="1" s="1"/>
  <c r="JL10" i="1" s="1"/>
  <c r="JN10" i="1" s="1"/>
  <c r="JP10" i="1" s="1"/>
  <c r="JR10" i="1" s="1"/>
  <c r="JT10" i="1" s="1"/>
  <c r="JV10" i="1" s="1"/>
  <c r="JX10" i="1" s="1"/>
  <c r="JZ10" i="1" s="1"/>
  <c r="KB10" i="1" s="1"/>
  <c r="KD10" i="1" s="1"/>
  <c r="KF10" i="1" s="1"/>
  <c r="KH10" i="1" s="1"/>
  <c r="KJ10" i="1" s="1"/>
  <c r="KL10" i="1" s="1"/>
  <c r="KN10" i="1" s="1"/>
  <c r="KP10" i="1" s="1"/>
  <c r="KR10" i="1" s="1"/>
  <c r="KT10" i="1" s="1"/>
  <c r="KV10" i="1" s="1"/>
  <c r="KX10" i="1" s="1"/>
  <c r="KZ10" i="1" s="1"/>
  <c r="LB10" i="1" s="1"/>
  <c r="LD10" i="1" s="1"/>
  <c r="LF10" i="1" s="1"/>
  <c r="LH10" i="1" s="1"/>
  <c r="LJ10" i="1" s="1"/>
  <c r="LL10" i="1" s="1"/>
  <c r="LN10" i="1" s="1"/>
  <c r="LP10" i="1" s="1"/>
  <c r="LR10" i="1" s="1"/>
  <c r="LT10" i="1" s="1"/>
  <c r="LV10" i="1" s="1"/>
  <c r="LX10" i="1" s="1"/>
  <c r="LZ10" i="1" s="1"/>
  <c r="MB10" i="1" s="1"/>
  <c r="MD10" i="1" s="1"/>
  <c r="MF10" i="1" s="1"/>
  <c r="MH10" i="1" s="1"/>
  <c r="MJ10" i="1" s="1"/>
  <c r="ML10" i="1" s="1"/>
  <c r="MN10" i="1" s="1"/>
  <c r="MP10" i="1" s="1"/>
  <c r="MR10" i="1" s="1"/>
  <c r="MT10" i="1" s="1"/>
  <c r="MV10" i="1" s="1"/>
  <c r="MX10" i="1" s="1"/>
  <c r="MZ10" i="1" s="1"/>
  <c r="NB10" i="1" s="1"/>
  <c r="ND10" i="1" s="1"/>
  <c r="NF10" i="1" s="1"/>
  <c r="NH10" i="1" s="1"/>
  <c r="NJ10" i="1" s="1"/>
  <c r="NL10" i="1" s="1"/>
  <c r="NN10" i="1" s="1"/>
  <c r="NP10" i="1" s="1"/>
  <c r="NR10" i="1" s="1"/>
  <c r="NT10" i="1" s="1"/>
  <c r="NV10" i="1" s="1"/>
  <c r="NX10" i="1" s="1"/>
  <c r="NZ10" i="1" s="1"/>
  <c r="OB10" i="1" s="1"/>
  <c r="OD10" i="1" s="1"/>
  <c r="OF10" i="1" s="1"/>
  <c r="OH10" i="1" s="1"/>
  <c r="OJ10" i="1" s="1"/>
  <c r="OL10" i="1" s="1"/>
  <c r="ON10" i="1" s="1"/>
  <c r="OP10" i="1" s="1"/>
  <c r="OR10" i="1" s="1"/>
  <c r="OT10" i="1" s="1"/>
  <c r="OV10" i="1" s="1"/>
  <c r="OX10" i="1" s="1"/>
  <c r="OZ10" i="1" s="1"/>
  <c r="PB10" i="1" s="1"/>
  <c r="PD10" i="1" s="1"/>
  <c r="PF10" i="1" s="1"/>
  <c r="PH10" i="1" s="1"/>
  <c r="PJ10" i="1" s="1"/>
  <c r="PL10" i="1" s="1"/>
  <c r="PN10" i="1" s="1"/>
  <c r="PP10" i="1" s="1"/>
  <c r="PR10" i="1" s="1"/>
  <c r="PT10" i="1" s="1"/>
  <c r="PV10" i="1" s="1"/>
  <c r="PX10" i="1" s="1"/>
  <c r="PZ10" i="1" s="1"/>
  <c r="QB10" i="1" s="1"/>
  <c r="QD10" i="1" s="1"/>
  <c r="QF10" i="1" s="1"/>
  <c r="QH10" i="1" s="1"/>
  <c r="QJ10" i="1" s="1"/>
  <c r="QL10" i="1" s="1"/>
  <c r="QN10" i="1" s="1"/>
  <c r="QP10" i="1" s="1"/>
  <c r="QR10" i="1" s="1"/>
  <c r="QT10" i="1" s="1"/>
  <c r="QV10" i="1" s="1"/>
  <c r="QX10" i="1" s="1"/>
  <c r="QZ10" i="1" s="1"/>
  <c r="RB10" i="1" s="1"/>
  <c r="RD10" i="1" s="1"/>
  <c r="RF10" i="1" s="1"/>
  <c r="RH10" i="1" s="1"/>
  <c r="RJ10" i="1" s="1"/>
  <c r="RL10" i="1" s="1"/>
  <c r="RN10" i="1" s="1"/>
  <c r="RP10" i="1" s="1"/>
  <c r="RR10" i="1" s="1"/>
  <c r="RT10" i="1" s="1"/>
  <c r="RV10" i="1" s="1"/>
  <c r="RX10" i="1" s="1"/>
  <c r="RZ10" i="1" s="1"/>
  <c r="SB10" i="1" s="1"/>
  <c r="SD10" i="1" s="1"/>
  <c r="SF10" i="1" s="1"/>
  <c r="SH10" i="1" s="1"/>
  <c r="SJ10" i="1" s="1"/>
  <c r="SL10" i="1" s="1"/>
  <c r="SN10" i="1" s="1"/>
  <c r="SP10" i="1" s="1"/>
  <c r="SR10" i="1" s="1"/>
  <c r="ST10" i="1" s="1"/>
  <c r="SV10" i="1" s="1"/>
  <c r="SX10" i="1" s="1"/>
  <c r="SZ10" i="1" s="1"/>
  <c r="TB10" i="1" s="1"/>
  <c r="TD10" i="1" s="1"/>
  <c r="TF10" i="1" s="1"/>
  <c r="TH10" i="1" s="1"/>
  <c r="TJ10" i="1" s="1"/>
  <c r="TL10" i="1" s="1"/>
  <c r="TN10" i="1" s="1"/>
  <c r="TP10" i="1" s="1"/>
  <c r="TR10" i="1" s="1"/>
  <c r="TT10" i="1" s="1"/>
  <c r="K17" i="1" l="1"/>
  <c r="S17" i="1"/>
  <c r="AA17" i="1"/>
  <c r="AI17" i="1"/>
  <c r="AQ17" i="1"/>
  <c r="AY17" i="1"/>
  <c r="BG17" i="1"/>
  <c r="BO17" i="1"/>
  <c r="BW17" i="1"/>
  <c r="CE17" i="1"/>
  <c r="CM17" i="1"/>
  <c r="CU17" i="1"/>
  <c r="EC17" i="1"/>
  <c r="EK17" i="1"/>
  <c r="ES17" i="1"/>
  <c r="FA17" i="1"/>
  <c r="FI17" i="1"/>
  <c r="FQ17" i="1"/>
  <c r="FY17" i="1"/>
  <c r="GG17" i="1"/>
  <c r="GO17" i="1"/>
  <c r="GW17" i="1"/>
  <c r="HE17" i="1"/>
  <c r="HM17" i="1"/>
  <c r="HU17" i="1"/>
  <c r="IC17" i="1"/>
  <c r="IK17" i="1"/>
  <c r="IS17" i="1"/>
  <c r="JA17" i="1"/>
  <c r="JI17" i="1"/>
  <c r="JQ17" i="1"/>
  <c r="JY17" i="1"/>
  <c r="KG17" i="1"/>
  <c r="KO17" i="1"/>
  <c r="KW17" i="1"/>
  <c r="LE17" i="1"/>
  <c r="LM17" i="1"/>
  <c r="LU17" i="1"/>
  <c r="MC17" i="1"/>
  <c r="MK17" i="1"/>
  <c r="MS17" i="1"/>
  <c r="NA17" i="1"/>
  <c r="NI17" i="1"/>
  <c r="NQ17" i="1"/>
  <c r="NY17" i="1"/>
  <c r="OG17" i="1"/>
  <c r="OO17" i="1"/>
  <c r="OW17" i="1"/>
  <c r="PE17" i="1"/>
  <c r="PM17" i="1"/>
  <c r="PU17" i="1"/>
  <c r="QC17" i="1"/>
  <c r="QK17" i="1"/>
  <c r="QS17" i="1"/>
  <c r="RA17" i="1"/>
  <c r="RI17" i="1"/>
  <c r="RQ17" i="1"/>
  <c r="M17" i="1"/>
  <c r="U17" i="1"/>
  <c r="AC17" i="1"/>
  <c r="AK17" i="1"/>
  <c r="AS17" i="1"/>
  <c r="BA17" i="1"/>
  <c r="BI17" i="1"/>
  <c r="BQ17" i="1"/>
  <c r="BY17" i="1"/>
  <c r="CG17" i="1"/>
  <c r="CO17" i="1"/>
  <c r="DW17" i="1"/>
  <c r="EE17" i="1"/>
  <c r="EM17" i="1"/>
  <c r="EU17" i="1"/>
  <c r="FC17" i="1"/>
  <c r="FK17" i="1"/>
  <c r="FS17" i="1"/>
  <c r="GA17" i="1"/>
  <c r="GI17" i="1"/>
  <c r="GQ17" i="1"/>
  <c r="GY17" i="1"/>
  <c r="HG17" i="1"/>
  <c r="HO17" i="1"/>
  <c r="HW17" i="1"/>
  <c r="IE17" i="1"/>
  <c r="IM17" i="1"/>
  <c r="IU17" i="1"/>
  <c r="JC17" i="1"/>
  <c r="JK17" i="1"/>
  <c r="JS17" i="1"/>
  <c r="KA17" i="1"/>
  <c r="KI17" i="1"/>
  <c r="KQ17" i="1"/>
  <c r="KY17" i="1"/>
  <c r="LG17" i="1"/>
  <c r="LO17" i="1"/>
  <c r="LW17" i="1"/>
  <c r="ME17" i="1"/>
  <c r="MM17" i="1"/>
  <c r="MU17" i="1"/>
  <c r="NC17" i="1"/>
  <c r="NK17" i="1"/>
  <c r="NS17" i="1"/>
  <c r="OA17" i="1"/>
  <c r="OI17" i="1"/>
  <c r="OQ17" i="1"/>
  <c r="OY17" i="1"/>
  <c r="PG17" i="1"/>
  <c r="PO17" i="1"/>
  <c r="PW17" i="1"/>
  <c r="QE17" i="1"/>
  <c r="QM17" i="1"/>
  <c r="QU17" i="1"/>
  <c r="RC17" i="1"/>
  <c r="RK17" i="1"/>
  <c r="RS17" i="1"/>
  <c r="O17" i="1"/>
  <c r="W17" i="1"/>
  <c r="AE17" i="1"/>
  <c r="AM17" i="1"/>
  <c r="AU17" i="1"/>
  <c r="BC17" i="1"/>
  <c r="BK17" i="1"/>
  <c r="BS17" i="1"/>
  <c r="CA17" i="1"/>
  <c r="CI17" i="1"/>
  <c r="CQ17" i="1"/>
  <c r="DY17" i="1"/>
  <c r="EG17" i="1"/>
  <c r="EO17" i="1"/>
  <c r="EW17" i="1"/>
  <c r="FE17" i="1"/>
  <c r="FM17" i="1"/>
  <c r="FU17" i="1"/>
  <c r="GC17" i="1"/>
  <c r="GK17" i="1"/>
  <c r="GS17" i="1"/>
  <c r="HA17" i="1"/>
  <c r="HI17" i="1"/>
  <c r="HQ17" i="1"/>
  <c r="HY17" i="1"/>
  <c r="IG17" i="1"/>
  <c r="IO17" i="1"/>
  <c r="IW17" i="1"/>
  <c r="JE17" i="1"/>
  <c r="JM17" i="1"/>
  <c r="JU17" i="1"/>
  <c r="KC17" i="1"/>
  <c r="KK17" i="1"/>
  <c r="KS17" i="1"/>
  <c r="LA17" i="1"/>
  <c r="LI17" i="1"/>
  <c r="LQ17" i="1"/>
  <c r="LY17" i="1"/>
  <c r="MG17" i="1"/>
  <c r="MO17" i="1"/>
  <c r="MW17" i="1"/>
  <c r="NE17" i="1"/>
  <c r="NM17" i="1"/>
  <c r="NU17" i="1"/>
  <c r="OC17" i="1"/>
  <c r="OK17" i="1"/>
  <c r="OS17" i="1"/>
  <c r="PA17" i="1"/>
  <c r="PI17" i="1"/>
  <c r="PQ17" i="1"/>
  <c r="PY17" i="1"/>
  <c r="QG17" i="1"/>
  <c r="QO17" i="1"/>
  <c r="QW17" i="1"/>
  <c r="RE17" i="1"/>
  <c r="RM17" i="1"/>
  <c r="I17" i="1"/>
  <c r="Q17" i="1"/>
  <c r="Y17" i="1"/>
  <c r="AG17" i="1"/>
  <c r="AO17" i="1"/>
  <c r="AW17" i="1"/>
  <c r="BE17" i="1"/>
  <c r="BM17" i="1"/>
  <c r="BU17" i="1"/>
  <c r="CC17" i="1"/>
  <c r="CK17" i="1"/>
  <c r="CS17" i="1"/>
  <c r="EA17" i="1"/>
  <c r="EI17" i="1"/>
  <c r="EQ17" i="1"/>
  <c r="EY17" i="1"/>
  <c r="FG17" i="1"/>
  <c r="FO17" i="1"/>
  <c r="FW17" i="1"/>
  <c r="GE17" i="1"/>
  <c r="GM17" i="1"/>
  <c r="GU17" i="1"/>
  <c r="HC17" i="1"/>
  <c r="HK17" i="1"/>
  <c r="HS17" i="1"/>
  <c r="IA17" i="1"/>
  <c r="II17" i="1"/>
  <c r="IQ17" i="1"/>
  <c r="IY17" i="1"/>
  <c r="JG17" i="1"/>
  <c r="JO17" i="1"/>
  <c r="JW17" i="1"/>
  <c r="KE17" i="1"/>
  <c r="KM17" i="1"/>
  <c r="KU17" i="1"/>
  <c r="LC17" i="1"/>
  <c r="LK17" i="1"/>
  <c r="LS17" i="1"/>
  <c r="MA17" i="1"/>
  <c r="MI17" i="1"/>
  <c r="MQ17" i="1"/>
  <c r="MY17" i="1"/>
  <c r="NG17" i="1"/>
  <c r="NO17" i="1"/>
  <c r="NW17" i="1"/>
  <c r="OE17" i="1"/>
  <c r="OM17" i="1"/>
  <c r="OU17" i="1"/>
  <c r="PC17" i="1"/>
  <c r="PK17" i="1"/>
  <c r="PS17" i="1"/>
  <c r="QA17" i="1"/>
  <c r="QI17" i="1"/>
  <c r="QQ17" i="1"/>
  <c r="QY17" i="1"/>
  <c r="RG17" i="1"/>
  <c r="RO17" i="1"/>
</calcChain>
</file>

<file path=xl/sharedStrings.xml><?xml version="1.0" encoding="utf-8"?>
<sst xmlns="http://schemas.openxmlformats.org/spreadsheetml/2006/main" count="950" uniqueCount="66">
  <si>
    <t>SEGUIMIENTO DE LEYES PLANTA</t>
  </si>
  <si>
    <t>GUARDIA</t>
  </si>
  <si>
    <t>MUESTRA</t>
  </si>
  <si>
    <t>Au</t>
  </si>
  <si>
    <t>g/tm</t>
  </si>
  <si>
    <t>Oz/tm</t>
  </si>
  <si>
    <t>DIA</t>
  </si>
  <si>
    <t>FAJA</t>
  </si>
  <si>
    <t>OVER</t>
  </si>
  <si>
    <t>CONC. BULK</t>
  </si>
  <si>
    <t>RVE. FINAL</t>
  </si>
  <si>
    <t>LEY ENVIADA</t>
  </si>
  <si>
    <t>NOCHE</t>
  </si>
  <si>
    <t>Fecha</t>
  </si>
  <si>
    <t>Guardia DÍA</t>
  </si>
  <si>
    <t>Guardia NOCHE</t>
  </si>
  <si>
    <t>Referencia 1.0 g/tm</t>
  </si>
  <si>
    <t>1-Set</t>
  </si>
  <si>
    <t>2-Set</t>
  </si>
  <si>
    <t>3-Set</t>
  </si>
  <si>
    <t>4-Set</t>
  </si>
  <si>
    <t>5-Set</t>
  </si>
  <si>
    <t>6-Set</t>
  </si>
  <si>
    <t>7-Set</t>
  </si>
  <si>
    <t>8-Set</t>
  </si>
  <si>
    <t>9-Set</t>
  </si>
  <si>
    <t>10-Set</t>
  </si>
  <si>
    <t>11-Set</t>
  </si>
  <si>
    <t>12-Set</t>
  </si>
  <si>
    <t>13-Set</t>
  </si>
  <si>
    <t>14-Set</t>
  </si>
  <si>
    <t>15-Set</t>
  </si>
  <si>
    <t>16-Set</t>
  </si>
  <si>
    <t>17-Set</t>
  </si>
  <si>
    <t>18-Set</t>
  </si>
  <si>
    <t>19-Set</t>
  </si>
  <si>
    <t>20-Set</t>
  </si>
  <si>
    <t>21-Set</t>
  </si>
  <si>
    <t>22-Set</t>
  </si>
  <si>
    <t>23-Set</t>
  </si>
  <si>
    <t>24-Set</t>
  </si>
  <si>
    <t>25-Set</t>
  </si>
  <si>
    <t>26-Set</t>
  </si>
  <si>
    <t>27-Set</t>
  </si>
  <si>
    <t>28-Set</t>
  </si>
  <si>
    <t>29-Set</t>
  </si>
  <si>
    <t>30-Set</t>
  </si>
  <si>
    <t>python Grafica_Relaves.py</t>
  </si>
  <si>
    <t>Resumen RVE. FINAL (g/tm)</t>
  </si>
  <si>
    <t>Extremo</t>
  </si>
  <si>
    <t>Guardia</t>
  </si>
  <si>
    <t>Celda</t>
  </si>
  <si>
    <t>LV10</t>
  </si>
  <si>
    <t>M’nimo</t>
  </si>
  <si>
    <t>D’a</t>
  </si>
  <si>
    <t>QZ10</t>
  </si>
  <si>
    <t>M‡ximo</t>
  </si>
  <si>
    <t>GUARDIA (A)  WILMER PACHECO HIRAOKA</t>
  </si>
  <si>
    <t>GUARDIA (C)  RONALD GAMARRA SANTILLAN</t>
  </si>
  <si>
    <t>GUARDIA (B)  MIGUEL VARGAS CASTRO</t>
  </si>
  <si>
    <t>RECUP (%)</t>
  </si>
  <si>
    <t>GUARDIA C</t>
  </si>
  <si>
    <t>GUARDIA B</t>
  </si>
  <si>
    <t>GUARDIA A</t>
  </si>
  <si>
    <t>source ../.venv_graficas/bin/activate</t>
  </si>
  <si>
    <t>python -m streamlit run "Dasboard_Leyes_Relaves_Flotacion.py" --server.port 8502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</si>
</sst>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dd/mm/yyyy"/>
  </numFmts>
  <fonts count="8" x14ac:knownFonts="1">
    <font>
      <sz val="11"/>
      <color theme="1"/>
      <name val="Calibri"/>
      <family val="2"/>
      <scheme val="minor"/>
    </font>
    <font>
      <b/>
      <sz val="11"/>
      <color theme="1"/>
      <name val="Calibri"/>
      <family val="2"/>
      <scheme val="minor"/>
    </font>
    <font>
      <b/>
      <sz val="8"/>
      <color theme="1"/>
      <name val="Tahoma"/>
      <family val="2"/>
    </font>
    <font>
      <b/>
      <sz val="8"/>
      <name val="Tahoma"/>
      <family val="2"/>
    </font>
    <font>
      <b/>
      <sz val="11"/>
      <color rgb="FFFF0000"/>
      <name val="Calibri"/>
      <family val="2"/>
      <scheme val="minor"/>
    </font>
    <font>
      <sz val="10"/>
      <color theme="1"/>
      <name val="Arial Unicode MS"/>
      <family val="2"/>
    </font>
    <font>
      <sz val="11"/>
      <color rgb="FF9C6500"/>
      <name val="Calibri"/>
      <family val="2"/>
      <scheme val="minor"/>
    </font>
    <font>
      <b/>
      <sz val="13"/>
      <color theme="1"/>
      <name val="Calibri"/>
      <family val="2"/>
      <scheme val="minor"/>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7" tint="0.59999389629810485"/>
        <bgColor indexed="64"/>
      </patternFill>
    </fill>
    <fill>
      <patternFill patternType="solid">
        <fgColor rgb="FF00B050"/>
        <bgColor indexed="64"/>
      </patternFill>
    </fill>
  </fills>
  <borders count="10">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60">
    <xf numFmtId="0" fontId="0" fillId="0" borderId="0" xfId="0"/>
    <xf numFmtId="164" fontId="0" fillId="0" borderId="2" xfId="0" applyNumberFormat="1" applyBorder="1"/>
    <xf numFmtId="164" fontId="0" fillId="0" borderId="6" xfId="0" applyNumberFormat="1" applyBorder="1"/>
    <xf numFmtId="0" fontId="0" fillId="0" borderId="0" xfId="0" applyAlignment="1">
      <alignment horizontal="center" vertical="center"/>
    </xf>
    <xf numFmtId="2" fontId="0" fillId="2" borderId="0" xfId="0" applyNumberFormat="1" applyFill="1" applyAlignment="1">
      <alignment horizontal="center" vertical="center"/>
    </xf>
    <xf numFmtId="0" fontId="0" fillId="3" borderId="0" xfId="0" applyFill="1" applyAlignment="1">
      <alignment horizontal="center" vertical="center"/>
    </xf>
    <xf numFmtId="2" fontId="4" fillId="4" borderId="0" xfId="0" applyNumberFormat="1" applyFont="1" applyFill="1" applyAlignment="1">
      <alignment horizontal="center" vertical="center"/>
    </xf>
    <xf numFmtId="2" fontId="0" fillId="0" borderId="0" xfId="0" applyNumberFormat="1" applyAlignment="1">
      <alignment horizontal="center" vertical="center"/>
    </xf>
    <xf numFmtId="2" fontId="0" fillId="0" borderId="0" xfId="0" applyNumberFormat="1"/>
    <xf numFmtId="1" fontId="0" fillId="0" borderId="0" xfId="0" applyNumberFormat="1"/>
    <xf numFmtId="164" fontId="0" fillId="0" borderId="0" xfId="0" applyNumberFormat="1"/>
    <xf numFmtId="165" fontId="0" fillId="0" borderId="0" xfId="0" applyNumberFormat="1"/>
    <xf numFmtId="0" fontId="6" fillId="0" borderId="0" xfId="0" applyFont="1"/>
    <xf numFmtId="0" fontId="1" fillId="0" borderId="0" xfId="0" applyFont="1" applyBorder="1" applyAlignment="1">
      <alignment horizontal="center"/>
    </xf>
    <xf numFmtId="2" fontId="0" fillId="0" borderId="0" xfId="0" applyNumberFormat="1" applyBorder="1" applyAlignment="1">
      <alignment horizontal="center" vertical="center"/>
    </xf>
    <xf numFmtId="2" fontId="0" fillId="0" borderId="0" xfId="0" applyNumberFormat="1" applyBorder="1" applyAlignment="1">
      <alignment vertical="center"/>
    </xf>
    <xf numFmtId="164" fontId="0" fillId="0" borderId="0" xfId="0" applyNumberFormat="1" applyBorder="1" applyAlignment="1">
      <alignment vertical="center"/>
    </xf>
    <xf numFmtId="0" fontId="0" fillId="0" borderId="7" xfId="0" applyBorder="1"/>
    <xf numFmtId="164" fontId="0" fillId="0" borderId="7" xfId="0" applyNumberFormat="1" applyBorder="1"/>
    <xf numFmtId="0" fontId="0" fillId="0" borderId="7" xfId="0" applyBorder="1" applyAlignment="1">
      <alignment horizontal="right"/>
    </xf>
    <xf numFmtId="0" fontId="0" fillId="0" borderId="7" xfId="0" applyBorder="1" applyAlignment="1">
      <alignment horizontal="left"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7" xfId="0" applyFont="1" applyBorder="1" applyAlignment="1">
      <alignment horizontal="left" vertical="center"/>
    </xf>
    <xf numFmtId="2" fontId="0" fillId="0" borderId="9" xfId="0" applyNumberFormat="1" applyBorder="1" applyAlignment="1">
      <alignment horizontal="center" vertical="center"/>
    </xf>
    <xf numFmtId="2" fontId="0" fillId="0" borderId="9" xfId="0" applyNumberFormat="1" applyBorder="1" applyAlignment="1">
      <alignment vertical="center"/>
    </xf>
    <xf numFmtId="0" fontId="1" fillId="0" borderId="9" xfId="0" applyFont="1" applyBorder="1" applyAlignment="1">
      <alignment horizontal="center" vertical="center"/>
    </xf>
    <xf numFmtId="164" fontId="0" fillId="0" borderId="9" xfId="0" applyNumberFormat="1" applyBorder="1" applyAlignment="1">
      <alignment vertical="center"/>
    </xf>
    <xf numFmtId="2" fontId="0" fillId="0" borderId="4" xfId="0" applyNumberFormat="1" applyBorder="1" applyAlignment="1">
      <alignment vertical="center"/>
    </xf>
    <xf numFmtId="0" fontId="0" fillId="0" borderId="8" xfId="0" applyBorder="1"/>
    <xf numFmtId="164" fontId="0" fillId="0" borderId="8" xfId="0" applyNumberFormat="1" applyBorder="1"/>
    <xf numFmtId="0" fontId="0" fillId="0" borderId="9" xfId="0" applyBorder="1"/>
    <xf numFmtId="0" fontId="0" fillId="0" borderId="4" xfId="0" applyBorder="1"/>
    <xf numFmtId="0" fontId="1" fillId="0" borderId="8" xfId="0" applyFont="1" applyBorder="1" applyAlignment="1">
      <alignment horizontal="left" vertical="center"/>
    </xf>
    <xf numFmtId="0" fontId="0" fillId="3" borderId="0" xfId="0" applyFill="1"/>
    <xf numFmtId="0" fontId="0" fillId="2" borderId="0" xfId="0" applyFill="1"/>
    <xf numFmtId="0" fontId="0" fillId="5" borderId="0" xfId="0" applyFill="1"/>
    <xf numFmtId="0" fontId="1" fillId="0" borderId="7" xfId="0" applyFont="1" applyBorder="1" applyAlignment="1">
      <alignment horizontal="center" vertical="center"/>
    </xf>
    <xf numFmtId="0" fontId="1" fillId="0" borderId="6" xfId="0" applyFont="1" applyBorder="1" applyAlignment="1">
      <alignment horizontal="center" vertical="center"/>
    </xf>
    <xf numFmtId="0" fontId="7" fillId="2" borderId="0" xfId="0" applyFont="1" applyFill="1" applyBorder="1" applyAlignment="1">
      <alignment horizontal="center"/>
    </xf>
    <xf numFmtId="0" fontId="0" fillId="2" borderId="0" xfId="0" applyFill="1" applyBorder="1" applyAlignment="1">
      <alignment horizontal="center"/>
    </xf>
    <xf numFmtId="0" fontId="7" fillId="5" borderId="0" xfId="0" applyFont="1" applyFill="1" applyBorder="1" applyAlignment="1">
      <alignment horizontal="center"/>
    </xf>
    <xf numFmtId="0" fontId="0" fillId="5" borderId="0" xfId="0" applyFill="1" applyBorder="1" applyAlignment="1">
      <alignment horizontal="center"/>
    </xf>
    <xf numFmtId="0" fontId="1" fillId="0" borderId="1" xfId="0" applyFont="1" applyBorder="1" applyAlignment="1">
      <alignment horizontal="center" vertical="center"/>
    </xf>
    <xf numFmtId="0" fontId="1" fillId="0" borderId="5" xfId="0" applyFont="1" applyBorder="1" applyAlignment="1">
      <alignment horizontal="center" vertical="center"/>
    </xf>
    <xf numFmtId="16" fontId="2" fillId="0" borderId="8" xfId="0" applyNumberFormat="1" applyFont="1" applyBorder="1" applyAlignment="1">
      <alignment horizontal="center"/>
    </xf>
    <xf numFmtId="0" fontId="1" fillId="0" borderId="7" xfId="0" applyFont="1" applyBorder="1" applyAlignment="1">
      <alignment horizontal="center" vertical="center"/>
    </xf>
    <xf numFmtId="0" fontId="1" fillId="0" borderId="0"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16" fontId="2" fillId="0" borderId="2" xfId="0" applyNumberFormat="1" applyFont="1" applyBorder="1" applyAlignment="1">
      <alignment horizontal="center"/>
    </xf>
    <xf numFmtId="0" fontId="1" fillId="0" borderId="6" xfId="0" applyFont="1" applyBorder="1" applyAlignment="1">
      <alignment horizontal="center" vertical="center"/>
    </xf>
    <xf numFmtId="16" fontId="3" fillId="0" borderId="8" xfId="0" applyNumberFormat="1" applyFont="1" applyBorder="1" applyAlignment="1">
      <alignment horizontal="center"/>
    </xf>
    <xf numFmtId="16" fontId="2" fillId="0" borderId="8" xfId="0" applyNumberFormat="1" applyFont="1" applyFill="1" applyBorder="1" applyAlignment="1">
      <alignment horizontal="center"/>
    </xf>
    <xf numFmtId="0" fontId="1" fillId="0" borderId="3" xfId="0" applyFont="1" applyBorder="1" applyAlignment="1">
      <alignment horizontal="center"/>
    </xf>
    <xf numFmtId="0" fontId="1" fillId="0" borderId="9" xfId="0" applyFont="1" applyBorder="1" applyAlignment="1">
      <alignment horizontal="center"/>
    </xf>
    <xf numFmtId="0" fontId="7" fillId="3" borderId="0" xfId="0" applyFont="1" applyFill="1" applyBorder="1" applyAlignment="1">
      <alignment horizontal="center"/>
    </xf>
    <xf numFmtId="0" fontId="0" fillId="3" borderId="0" xfId="0" applyFill="1" applyBorder="1" applyAlignment="1">
      <alignment horizontal="center"/>
    </xf>
    <xf numFmtId="0" fontId="5" fillId="0" borderId="0" xfId="0" applyFont="1" applyAlignment="1"/>
    <xf numFmtId="0" fontId="0" fillId="0" borderId="0" xfId="0" applyAlignment="1"/>
  </cellXfs>
  <cellStyles count="1">
    <cellStyle name="Normal" xfId="0" builtinId="0"/>
  </cellStyles>
  <dxfs count="8">
    <dxf>
      <font>
        <color rgb="FFFF0000"/>
      </font>
    </dxf>
    <dxf>
      <font>
        <color rgb="FFFF0000"/>
      </font>
    </dxf>
    <dxf>
      <font>
        <color rgb="FFFF0000"/>
      </font>
    </dxf>
    <dxf>
      <font>
        <color rgb="FFFF0000"/>
      </font>
    </dxf>
    <dxf>
      <font>
        <color rgb="FFFF0000"/>
      </font>
    </dxf>
    <dxf>
      <font>
        <color rgb="FFFF0000"/>
      </font>
    </dxf>
    <dxf>
      <font>
        <b/>
        <i val="0"/>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s-PE" sz="1650" b="1"/>
              <a:t>Tendencia de Oro en Relave: Día vs Noche
Setiembre 2026</a:t>
            </a:r>
          </a:p>
        </c:rich>
      </c:tx>
      <c:overlay val="0"/>
    </c:title>
    <c:autoTitleDeleted val="0"/>
    <c:plotArea>
      <c:layout/>
      <c:lineChart>
        <c:grouping val="standard"/>
        <c:varyColors val="0"/>
        <c:ser>
          <c:idx val="0"/>
          <c:order val="0"/>
          <c:tx>
            <c:v>Guardia DÍA</c:v>
          </c:tx>
          <c:spPr>
            <a:ln w="19050">
              <a:solidFill>
                <a:srgbClr val="093BDC"/>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Guardia'!$C$80:$C$109</c:f>
              <c:numCache>
                <c:formatCode>General</c:formatCode>
                <c:ptCount val="30"/>
                <c:pt idx="0">
                  <c:v>1.0469999999999999</c:v>
                </c:pt>
                <c:pt idx="1">
                  <c:v>1.0449999999999999</c:v>
                </c:pt>
                <c:pt idx="2">
                  <c:v>1.1040000000000001</c:v>
                </c:pt>
                <c:pt idx="3">
                  <c:v>1.038</c:v>
                </c:pt>
                <c:pt idx="4">
                  <c:v>0.96299999999999997</c:v>
                </c:pt>
                <c:pt idx="5">
                  <c:v>1.0089999999999999</c:v>
                </c:pt>
                <c:pt idx="6">
                  <c:v>0.96699999999999997</c:v>
                </c:pt>
                <c:pt idx="7">
                  <c:v>0.83699999999999997</c:v>
                </c:pt>
                <c:pt idx="8">
                  <c:v>0.71599999999999997</c:v>
                </c:pt>
                <c:pt idx="9">
                  <c:v>0.88100000000000001</c:v>
                </c:pt>
                <c:pt idx="10">
                  <c:v>0.51600000000000001</c:v>
                </c:pt>
                <c:pt idx="11">
                  <c:v>0.79700000000000004</c:v>
                </c:pt>
                <c:pt idx="12">
                  <c:v>0.78200000000000003</c:v>
                </c:pt>
                <c:pt idx="13">
                  <c:v>0.73799999999999999</c:v>
                </c:pt>
                <c:pt idx="14">
                  <c:v>0.79900000000000004</c:v>
                </c:pt>
                <c:pt idx="15">
                  <c:v>0.61299999999999999</c:v>
                </c:pt>
                <c:pt idx="16">
                  <c:v>0.51500000000000001</c:v>
                </c:pt>
                <c:pt idx="17">
                  <c:v>0.61699999999999999</c:v>
                </c:pt>
                <c:pt idx="18">
                  <c:v>0.63</c:v>
                </c:pt>
                <c:pt idx="19">
                  <c:v>0.58699999999999997</c:v>
                </c:pt>
                <c:pt idx="20">
                  <c:v>0.45900000000000002</c:v>
                </c:pt>
                <c:pt idx="21">
                  <c:v>0.51200000000000001</c:v>
                </c:pt>
                <c:pt idx="22">
                  <c:v>0.52100000000000002</c:v>
                </c:pt>
                <c:pt idx="23">
                  <c:v>0.501</c:v>
                </c:pt>
                <c:pt idx="24">
                  <c:v>0.624</c:v>
                </c:pt>
                <c:pt idx="25">
                  <c:v>0.68799999999999994</c:v>
                </c:pt>
                <c:pt idx="26">
                  <c:v>0.67700000000000005</c:v>
                </c:pt>
                <c:pt idx="27">
                  <c:v>0.61499999999999999</c:v>
                </c:pt>
                <c:pt idx="28">
                  <c:v>0.59199999999999997</c:v>
                </c:pt>
                <c:pt idx="29">
                  <c:v>0.60399999999999998</c:v>
                </c:pt>
              </c:numCache>
            </c:numRef>
          </c:val>
          <c:smooth val="0"/>
          <c:extLst>
            <c:ext xmlns:c16="http://schemas.microsoft.com/office/drawing/2014/chart" uri="{C3380CC4-5D6E-409C-BE32-E72D297353CC}">
              <c16:uniqueId val="{00000000-339E-F34E-9F2A-63DE8FCE27F7}"/>
            </c:ext>
          </c:extLst>
        </c:ser>
        <c:ser>
          <c:idx val="1"/>
          <c:order val="1"/>
          <c:tx>
            <c:v>Guardia NOCHE</c:v>
          </c:tx>
          <c:spPr>
            <a:ln w="19050">
              <a:solidFill>
                <a:srgbClr val="F36116"/>
              </a:solidFill>
              <a:prstDash val="solid"/>
            </a:ln>
          </c:spPr>
          <c:marker>
            <c:symbol val="circle"/>
            <c:size val="5"/>
          </c:marker>
          <c:dLbls>
            <c:numFmt formatCode="0.000" sourceLinked="0"/>
            <c:spPr>
              <a:noFill/>
              <a:ln>
                <a:noFill/>
              </a:ln>
              <a:effectLst/>
            </c:spPr>
            <c:txPr>
              <a:bodyPr anchorCtr="1"/>
              <a:lstStyle/>
              <a:p>
                <a:pPr>
                  <a:defRPr sz="825"/>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Guardia'!$D$80:$D$109</c:f>
              <c:numCache>
                <c:formatCode>General</c:formatCode>
                <c:ptCount val="30"/>
                <c:pt idx="0">
                  <c:v>1.0649999999999999</c:v>
                </c:pt>
                <c:pt idx="1">
                  <c:v>1.0389999999999999</c:v>
                </c:pt>
                <c:pt idx="2">
                  <c:v>1.0680000000000001</c:v>
                </c:pt>
                <c:pt idx="3">
                  <c:v>1.018</c:v>
                </c:pt>
                <c:pt idx="4">
                  <c:v>0.98299999999999998</c:v>
                </c:pt>
                <c:pt idx="5">
                  <c:v>1.0189999999999999</c:v>
                </c:pt>
                <c:pt idx="6">
                  <c:v>0.89300000000000002</c:v>
                </c:pt>
                <c:pt idx="7">
                  <c:v>0.73799999999999999</c:v>
                </c:pt>
                <c:pt idx="8">
                  <c:v>0.69099999999999995</c:v>
                </c:pt>
                <c:pt idx="9">
                  <c:v>0.66800000000000004</c:v>
                </c:pt>
                <c:pt idx="10">
                  <c:v>0.67400000000000004</c:v>
                </c:pt>
                <c:pt idx="11">
                  <c:v>0.76100000000000001</c:v>
                </c:pt>
                <c:pt idx="12">
                  <c:v>0.84299999999999997</c:v>
                </c:pt>
                <c:pt idx="13">
                  <c:v>0.75700000000000001</c:v>
                </c:pt>
                <c:pt idx="14">
                  <c:v>0.73399999999999999</c:v>
                </c:pt>
                <c:pt idx="15">
                  <c:v>0.57399999999999995</c:v>
                </c:pt>
                <c:pt idx="16">
                  <c:v>0.51400000000000001</c:v>
                </c:pt>
                <c:pt idx="17">
                  <c:v>0.65100000000000002</c:v>
                </c:pt>
                <c:pt idx="18">
                  <c:v>0.60899999999999999</c:v>
                </c:pt>
                <c:pt idx="19">
                  <c:v>0.58199999999999996</c:v>
                </c:pt>
                <c:pt idx="20">
                  <c:v>0.52</c:v>
                </c:pt>
                <c:pt idx="21">
                  <c:v>0.60599999999999998</c:v>
                </c:pt>
                <c:pt idx="22">
                  <c:v>0.51</c:v>
                </c:pt>
                <c:pt idx="23">
                  <c:v>0.51300000000000001</c:v>
                </c:pt>
                <c:pt idx="24">
                  <c:v>0.64</c:v>
                </c:pt>
                <c:pt idx="25">
                  <c:v>0.67100000000000004</c:v>
                </c:pt>
                <c:pt idx="26">
                  <c:v>0.61399999999999999</c:v>
                </c:pt>
                <c:pt idx="27">
                  <c:v>0.65</c:v>
                </c:pt>
                <c:pt idx="28">
                  <c:v>0.61899999999999999</c:v>
                </c:pt>
                <c:pt idx="29">
                  <c:v>0.55600000000000005</c:v>
                </c:pt>
              </c:numCache>
            </c:numRef>
          </c:val>
          <c:smooth val="0"/>
          <c:extLst>
            <c:ext xmlns:c16="http://schemas.microsoft.com/office/drawing/2014/chart" uri="{C3380CC4-5D6E-409C-BE32-E72D297353CC}">
              <c16:uniqueId val="{00000001-339E-F34E-9F2A-63DE8FCE27F7}"/>
            </c:ext>
          </c:extLst>
        </c:ser>
        <c:ser>
          <c:idx val="2"/>
          <c:order val="2"/>
          <c:tx>
            <c:v>Referencia 1.0 g/tm</c:v>
          </c:tx>
          <c:spPr>
            <a:ln w="19050">
              <a:solidFill>
                <a:srgbClr val="289864"/>
              </a:solidFill>
              <a:prstDash val="dash"/>
            </a:ln>
          </c:spPr>
          <c:marker>
            <c:symbol val="none"/>
          </c:marker>
          <c:dLbls>
            <c:delete val="1"/>
          </c:dLbls>
          <c:cat>
            <c:strRef>
              <c:f>'Analisis Sulfuros por Guardia'!$B$80:$B$109</c:f>
              <c:strCache>
                <c:ptCount val="30"/>
                <c:pt idx="0">
                  <c:v>1-Set</c:v>
                </c:pt>
                <c:pt idx="1">
                  <c:v>2-Set</c:v>
                </c:pt>
                <c:pt idx="2">
                  <c:v>3-Set</c:v>
                </c:pt>
                <c:pt idx="3">
                  <c:v>4-Set</c:v>
                </c:pt>
                <c:pt idx="4">
                  <c:v>5-Set</c:v>
                </c:pt>
                <c:pt idx="5">
                  <c:v>6-Set</c:v>
                </c:pt>
                <c:pt idx="6">
                  <c:v>7-Set</c:v>
                </c:pt>
                <c:pt idx="7">
                  <c:v>8-Set</c:v>
                </c:pt>
                <c:pt idx="8">
                  <c:v>9-Set</c:v>
                </c:pt>
                <c:pt idx="9">
                  <c:v>10-Set</c:v>
                </c:pt>
                <c:pt idx="10">
                  <c:v>11-Set</c:v>
                </c:pt>
                <c:pt idx="11">
                  <c:v>12-Set</c:v>
                </c:pt>
                <c:pt idx="12">
                  <c:v>13-Set</c:v>
                </c:pt>
                <c:pt idx="13">
                  <c:v>14-Set</c:v>
                </c:pt>
                <c:pt idx="14">
                  <c:v>15-Set</c:v>
                </c:pt>
                <c:pt idx="15">
                  <c:v>16-Set</c:v>
                </c:pt>
                <c:pt idx="16">
                  <c:v>17-Set</c:v>
                </c:pt>
                <c:pt idx="17">
                  <c:v>18-Set</c:v>
                </c:pt>
                <c:pt idx="18">
                  <c:v>19-Set</c:v>
                </c:pt>
                <c:pt idx="19">
                  <c:v>20-Set</c:v>
                </c:pt>
                <c:pt idx="20">
                  <c:v>21-Set</c:v>
                </c:pt>
                <c:pt idx="21">
                  <c:v>22-Set</c:v>
                </c:pt>
                <c:pt idx="22">
                  <c:v>23-Set</c:v>
                </c:pt>
                <c:pt idx="23">
                  <c:v>24-Set</c:v>
                </c:pt>
                <c:pt idx="24">
                  <c:v>25-Set</c:v>
                </c:pt>
                <c:pt idx="25">
                  <c:v>26-Set</c:v>
                </c:pt>
                <c:pt idx="26">
                  <c:v>27-Set</c:v>
                </c:pt>
                <c:pt idx="27">
                  <c:v>28-Set</c:v>
                </c:pt>
                <c:pt idx="28">
                  <c:v>29-Set</c:v>
                </c:pt>
                <c:pt idx="29">
                  <c:v>30-Set</c:v>
                </c:pt>
              </c:strCache>
            </c:strRef>
          </c:cat>
          <c:val>
            <c:numRef>
              <c:f>'Analisis Sulfuros por Guardia'!$E$80:$E$109</c:f>
              <c:numCache>
                <c:formatCode>General</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2-339E-F34E-9F2A-63DE8FCE27F7}"/>
            </c:ext>
          </c:extLst>
        </c:ser>
        <c:dLbls>
          <c:showLegendKey val="0"/>
          <c:showVal val="1"/>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es-PE"/>
                  <a:t>Fecha</a:t>
                </a:r>
              </a:p>
            </c:rich>
          </c:tx>
          <c:overlay val="0"/>
        </c:title>
        <c:numFmt formatCode="General" sourceLinked="1"/>
        <c:majorTickMark val="none"/>
        <c:minorTickMark val="none"/>
        <c:tickLblPos val="nextTo"/>
        <c:txPr>
          <a:bodyPr anchorCtr="1"/>
          <a:lstStyle/>
          <a:p>
            <a:pPr>
              <a:defRPr sz="825">
                <a:latin typeface="Arial"/>
                <a:ea typeface="Arial"/>
                <a:cs typeface="Arial"/>
              </a:defRPr>
            </a:pPr>
            <a:endParaRPr lang="es-PE"/>
          </a:p>
        </c:txPr>
        <c:crossAx val="48672768"/>
        <c:crosses val="autoZero"/>
        <c:auto val="1"/>
        <c:lblAlgn val="ctr"/>
        <c:lblOffset val="100"/>
        <c:noMultiLvlLbl val="1"/>
      </c:catAx>
      <c:valAx>
        <c:axId val="48672768"/>
        <c:scaling>
          <c:orientation val="minMax"/>
          <c:max val="1.2"/>
          <c:min val="0.4"/>
        </c:scaling>
        <c:delete val="0"/>
        <c:axPos val="l"/>
        <c:majorGridlines>
          <c:spPr>
            <a:ln w="9525">
              <a:solidFill>
                <a:srgbClr val="CCCCCC"/>
              </a:solidFill>
              <a:prstDash val="dash"/>
            </a:ln>
          </c:spPr>
        </c:majorGridlines>
        <c:title>
          <c:tx>
            <c:rich>
              <a:bodyPr/>
              <a:lstStyle/>
              <a:p>
                <a:r>
                  <a:rPr lang="es-PE"/>
                  <a:t>Ley de Oro en Relave (g/tm)</a:t>
                </a:r>
              </a:p>
            </c:rich>
          </c:tx>
          <c:overlay val="0"/>
        </c:title>
        <c:numFmt formatCode="0.000" sourceLinked="0"/>
        <c:majorTickMark val="none"/>
        <c:minorTickMark val="none"/>
        <c:tickLblPos val="nextTo"/>
        <c:txPr>
          <a:bodyPr anchorCtr="1"/>
          <a:lstStyle/>
          <a:p>
            <a:pPr>
              <a:defRPr sz="900">
                <a:latin typeface="Arial"/>
                <a:ea typeface="Arial"/>
                <a:cs typeface="Arial"/>
              </a:defRPr>
            </a:pPr>
            <a:endParaRPr lang="es-PE"/>
          </a:p>
        </c:txPr>
        <c:crossAx val="48650112"/>
        <c:crosses val="autoZero"/>
        <c:crossBetween val="between"/>
        <c:majorUnit val="0.1"/>
      </c:valAx>
    </c:plotArea>
    <c:legend>
      <c:legendPos val="b"/>
      <c:overlay val="0"/>
      <c:txPr>
        <a:bodyPr anchorCtr="1"/>
        <a:lstStyle/>
        <a:p>
          <a:pPr>
            <a:defRPr sz="1125">
              <a:latin typeface="Arial"/>
              <a:ea typeface="Arial"/>
              <a:cs typeface="Arial"/>
            </a:defRPr>
          </a:pPr>
          <a:endParaRPr lang="es-PE"/>
        </a:p>
      </c:txPr>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319</xdr:col>
      <xdr:colOff>0</xdr:colOff>
      <xdr:row>31</xdr:row>
      <xdr:rowOff>0</xdr:rowOff>
    </xdr:from>
    <xdr:to>
      <xdr:col>319</xdr:col>
      <xdr:colOff>304800</xdr:colOff>
      <xdr:row>32</xdr:row>
      <xdr:rowOff>121920</xdr:rowOff>
    </xdr:to>
    <xdr:sp macro="" textlink="">
      <xdr:nvSpPr>
        <xdr:cNvPr id="2" name="AutoShape 1" descr="Tendencia de oro: día vs noche">
          <a:extLst>
            <a:ext uri="{FF2B5EF4-FFF2-40B4-BE49-F238E27FC236}">
              <a16:creationId xmlns:a16="http://schemas.microsoft.com/office/drawing/2014/main" id="{EA86610F-9AE2-B349-A483-240FD8A0B52C}"/>
            </a:ext>
          </a:extLst>
        </xdr:cNvPr>
        <xdr:cNvSpPr>
          <a:spLocks noChangeAspect="1" noChangeArrowheads="1"/>
        </xdr:cNvSpPr>
      </xdr:nvSpPr>
      <xdr:spPr bwMode="auto">
        <a:xfrm>
          <a:off x="252349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285</xdr:col>
      <xdr:colOff>0</xdr:colOff>
      <xdr:row>31</xdr:row>
      <xdr:rowOff>0</xdr:rowOff>
    </xdr:from>
    <xdr:to>
      <xdr:col>285</xdr:col>
      <xdr:colOff>304800</xdr:colOff>
      <xdr:row>32</xdr:row>
      <xdr:rowOff>121920</xdr:rowOff>
    </xdr:to>
    <xdr:sp macro="" textlink="">
      <xdr:nvSpPr>
        <xdr:cNvPr id="3" name="AutoShape 1" descr="Tendencia de oro por turnos junio">
          <a:extLst>
            <a:ext uri="{FF2B5EF4-FFF2-40B4-BE49-F238E27FC236}">
              <a16:creationId xmlns:a16="http://schemas.microsoft.com/office/drawing/2014/main" id="{CFE22579-DA5D-284B-AC09-055A46A2E64C}"/>
            </a:ext>
          </a:extLst>
        </xdr:cNvPr>
        <xdr:cNvSpPr>
          <a:spLocks noChangeAspect="1" noChangeArrowheads="1"/>
        </xdr:cNvSpPr>
      </xdr:nvSpPr>
      <xdr:spPr bwMode="auto">
        <a:xfrm>
          <a:off x="224282000" y="43561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420</xdr:col>
      <xdr:colOff>503766</xdr:colOff>
      <xdr:row>35</xdr:row>
      <xdr:rowOff>160867</xdr:rowOff>
    </xdr:from>
    <xdr:to>
      <xdr:col>437</xdr:col>
      <xdr:colOff>452966</xdr:colOff>
      <xdr:row>68</xdr:row>
      <xdr:rowOff>122767</xdr:rowOff>
    </xdr:to>
    <xdr:graphicFrame macro="">
      <xdr:nvGraphicFramePr>
        <xdr:cNvPr id="4" name="Chart">
          <a:extLst>
            <a:ext uri="{FF2B5EF4-FFF2-40B4-BE49-F238E27FC236}">
              <a16:creationId xmlns:a16="http://schemas.microsoft.com/office/drawing/2014/main" id="{59F24A0F-30AF-3543-AA9E-14E45559B8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239184</xdr:colOff>
      <xdr:row>31</xdr:row>
      <xdr:rowOff>50800</xdr:rowOff>
    </xdr:from>
    <xdr:to>
      <xdr:col>10</xdr:col>
      <xdr:colOff>366184</xdr:colOff>
      <xdr:row>33</xdr:row>
      <xdr:rowOff>76200</xdr:rowOff>
    </xdr:to>
    <xdr:sp macro="[0]!BuscarExtremosRVE" textlink="">
      <xdr:nvSpPr>
        <xdr:cNvPr id="5" name="btnExtremosRVE" descr="Pendiente de vincular a BuscarExtremosRVE mediante CrearBotonRVE en VBA.">
          <a:extLst>
            <a:ext uri="{FF2B5EF4-FFF2-40B4-BE49-F238E27FC236}">
              <a16:creationId xmlns:a16="http://schemas.microsoft.com/office/drawing/2014/main" id="{42B1824C-E267-234A-83CC-712280DB3A84}"/>
            </a:ext>
          </a:extLst>
        </xdr:cNvPr>
        <xdr:cNvSpPr/>
      </xdr:nvSpPr>
      <xdr:spPr>
        <a:xfrm>
          <a:off x="5425017" y="4389967"/>
          <a:ext cx="2667000" cy="406400"/>
        </a:xfrm>
        <a:prstGeom prst="roundRect">
          <a:avLst/>
        </a:prstGeom>
        <a:solidFill>
          <a:srgbClr val="1F4E78"/>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s-MX" sz="1100" b="1" i="0" u="none" strike="noStrike" kern="0" cap="none" spc="0" normalizeH="0" baseline="0" noProof="0">
              <a:ln>
                <a:noFill/>
              </a:ln>
              <a:solidFill>
                <a:srgbClr val="FFFFFF"/>
              </a:solidFill>
              <a:effectLst/>
              <a:uLnTx/>
              <a:uFillTx/>
              <a:latin typeface="Calibri" panose="020F0502020204030204"/>
            </a:rPr>
            <a:t>Max. y Min. RVE. FINAL</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03BD110-3BD7-2F40-8896-91501ADD7EB5}">
  <we:reference id="wa200010215" version="2.0.0.1" store="es-MX" storeType="OMEX"/>
  <we:alternateReferences>
    <we:reference id="wa200010215" version="2.0.0.1" store="WA200010215" storeType="OMEX"/>
  </we:alternateReferences>
  <we:properties>
    <we:property name="bps.codex_control.document_id" value="&quot;4f6fac14-c581-4bc9-9d88-f4c9fe8797b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9E3C0-D259-9341-85CB-98D8D2CC7A1D}">
  <sheetPr codeName="Hoja1"/>
  <dimension ref="A1:VO109"/>
  <sheetViews>
    <sheetView showGridLines="0" tabSelected="1" zoomScale="90" zoomScaleNormal="90" workbookViewId="0">
      <pane xSplit="3" ySplit="12" topLeftCell="TK13" activePane="bottomRight" state="frozen"/>
      <selection pane="topRight" activeCell="D1" sqref="D1"/>
      <selection pane="bottomLeft" activeCell="A7" sqref="A7"/>
      <selection pane="bottomRight" activeCell="TT24" sqref="TT24"/>
    </sheetView>
  </sheetViews>
  <sheetFormatPr baseColWidth="10" defaultRowHeight="15" x14ac:dyDescent="0.2"/>
  <cols>
    <col min="2" max="2" width="15.6640625" customWidth="1"/>
    <col min="3" max="3" width="14.83203125" customWidth="1"/>
    <col min="4" max="4" width="12.6640625" customWidth="1"/>
    <col min="5" max="65" width="8.33203125" customWidth="1"/>
    <col min="99" max="99" width="11.1640625" customWidth="1"/>
    <col min="115" max="115" width="12.5" bestFit="1" customWidth="1"/>
  </cols>
  <sheetData>
    <row r="1" spans="2:587" ht="16" x14ac:dyDescent="0.25">
      <c r="B1" s="58" t="s">
        <v>47</v>
      </c>
    </row>
    <row r="2" spans="2:587" x14ac:dyDescent="0.2">
      <c r="B2" s="59" t="s">
        <v>65</v>
      </c>
    </row>
    <row r="3" spans="2:587" x14ac:dyDescent="0.2">
      <c r="B3" s="59" t="s">
        <v>64</v>
      </c>
    </row>
    <row r="9" spans="2:587" ht="18" thickBot="1" x14ac:dyDescent="0.25">
      <c r="B9" s="47"/>
      <c r="C9" s="47"/>
      <c r="KB9" s="41" t="s">
        <v>57</v>
      </c>
      <c r="KC9" s="42"/>
      <c r="KD9" s="42"/>
      <c r="KE9" s="42"/>
      <c r="KF9" s="42"/>
      <c r="KG9" s="42"/>
      <c r="KH9" s="42"/>
      <c r="KI9" s="42"/>
      <c r="KJ9" s="42"/>
      <c r="KK9" s="42"/>
      <c r="KL9" s="42"/>
      <c r="KM9" s="42"/>
      <c r="KN9" s="42"/>
      <c r="KO9" s="42"/>
      <c r="KP9" s="42"/>
      <c r="KQ9" s="42"/>
      <c r="KR9" s="42"/>
      <c r="KS9" s="42"/>
      <c r="KT9" s="42"/>
      <c r="KU9" s="42"/>
      <c r="KV9" s="39" t="s">
        <v>59</v>
      </c>
      <c r="KW9" s="39"/>
      <c r="KX9" s="39"/>
      <c r="KY9" s="39"/>
      <c r="KZ9" s="39"/>
      <c r="LA9" s="39"/>
      <c r="LB9" s="39"/>
      <c r="LC9" s="39"/>
      <c r="LD9" s="39"/>
      <c r="LE9" s="39"/>
      <c r="LF9" s="39"/>
      <c r="LG9" s="39"/>
      <c r="LH9" s="39"/>
      <c r="LI9" s="39"/>
      <c r="LJ9" s="39"/>
      <c r="LK9" s="39"/>
      <c r="LL9" s="39"/>
      <c r="LM9" s="39"/>
      <c r="LN9" s="39"/>
      <c r="LO9" s="39"/>
      <c r="LP9" s="56" t="s">
        <v>58</v>
      </c>
      <c r="LQ9" s="56"/>
      <c r="LR9" s="56"/>
      <c r="LS9" s="56"/>
      <c r="LT9" s="56"/>
      <c r="LU9" s="56"/>
      <c r="LV9" s="56"/>
      <c r="LW9" s="56"/>
      <c r="LX9" s="56"/>
      <c r="LY9" s="56"/>
      <c r="LZ9" s="56"/>
      <c r="MA9" s="56"/>
      <c r="MB9" s="56"/>
      <c r="MC9" s="56"/>
      <c r="MD9" s="56"/>
      <c r="ME9" s="56"/>
      <c r="MF9" s="56"/>
      <c r="MG9" s="56"/>
      <c r="MH9" s="56"/>
      <c r="MI9" s="56"/>
      <c r="MJ9" s="41" t="s">
        <v>57</v>
      </c>
      <c r="MK9" s="42"/>
      <c r="ML9" s="42"/>
      <c r="MM9" s="42"/>
      <c r="MN9" s="42"/>
      <c r="MO9" s="42"/>
      <c r="MP9" s="42"/>
      <c r="MQ9" s="42"/>
      <c r="MR9" s="42"/>
      <c r="MS9" s="42"/>
      <c r="MT9" s="42"/>
      <c r="MU9" s="42"/>
      <c r="MV9" s="42"/>
      <c r="MW9" s="42"/>
      <c r="MX9" s="42"/>
      <c r="MY9" s="42"/>
      <c r="MZ9" s="42"/>
      <c r="NA9" s="42"/>
      <c r="NB9" s="42"/>
      <c r="NC9" s="42"/>
      <c r="ND9" s="39" t="s">
        <v>59</v>
      </c>
      <c r="NE9" s="40"/>
      <c r="NF9" s="40"/>
      <c r="NG9" s="40"/>
      <c r="NH9" s="40"/>
      <c r="NI9" s="40"/>
      <c r="NJ9" s="40"/>
      <c r="NK9" s="40"/>
      <c r="NL9" s="40"/>
      <c r="NM9" s="40"/>
      <c r="NN9" s="40"/>
      <c r="NO9" s="40"/>
      <c r="NP9" s="40"/>
      <c r="NQ9" s="40"/>
      <c r="NR9" s="40"/>
      <c r="NS9" s="40"/>
      <c r="NT9" s="40"/>
      <c r="NU9" s="40"/>
      <c r="NV9" s="40"/>
      <c r="NW9" s="40"/>
      <c r="NX9" s="56" t="s">
        <v>58</v>
      </c>
      <c r="NY9" s="57"/>
      <c r="NZ9" s="57"/>
      <c r="OA9" s="57"/>
      <c r="OB9" s="57"/>
      <c r="OC9" s="57"/>
      <c r="OD9" s="57"/>
      <c r="OE9" s="57"/>
      <c r="OF9" s="57"/>
      <c r="OG9" s="57"/>
      <c r="OH9" s="57"/>
      <c r="OI9" s="57"/>
      <c r="OJ9" s="57"/>
      <c r="OK9" s="57"/>
      <c r="OL9" s="57"/>
      <c r="OM9" s="57"/>
      <c r="ON9" s="57"/>
      <c r="OO9" s="57"/>
      <c r="OP9" s="57"/>
      <c r="OQ9" s="57"/>
      <c r="OR9" s="41" t="s">
        <v>57</v>
      </c>
      <c r="OS9" s="42"/>
      <c r="OT9" s="42"/>
      <c r="OU9" s="42"/>
      <c r="OV9" s="42"/>
      <c r="OW9" s="42"/>
      <c r="OX9" s="42"/>
      <c r="OY9" s="42"/>
      <c r="OZ9" s="42"/>
      <c r="PA9" s="42"/>
      <c r="PB9" s="42"/>
      <c r="PC9" s="42"/>
      <c r="PD9" s="42"/>
      <c r="PE9" s="42"/>
      <c r="PF9" s="42"/>
      <c r="PG9" s="42"/>
      <c r="PH9" s="42"/>
      <c r="PI9" s="42"/>
      <c r="PJ9" s="42"/>
      <c r="PK9" s="42"/>
      <c r="PL9" s="39" t="s">
        <v>59</v>
      </c>
      <c r="PM9" s="40"/>
      <c r="PN9" s="40"/>
      <c r="PO9" s="40"/>
      <c r="PP9" s="40"/>
      <c r="PQ9" s="40"/>
      <c r="PR9" s="40"/>
      <c r="PS9" s="40"/>
      <c r="PT9" s="40"/>
      <c r="PU9" s="40"/>
      <c r="PV9" s="40"/>
      <c r="PW9" s="40"/>
      <c r="PX9" s="40"/>
      <c r="PY9" s="40"/>
      <c r="PZ9" s="40"/>
      <c r="QA9" s="40"/>
      <c r="QB9" s="40"/>
      <c r="QC9" s="40"/>
      <c r="QD9" s="40"/>
      <c r="QE9" s="40"/>
      <c r="QF9" s="56" t="s">
        <v>58</v>
      </c>
      <c r="QG9" s="57"/>
      <c r="QH9" s="57"/>
      <c r="QI9" s="57"/>
      <c r="QJ9" s="57"/>
      <c r="QK9" s="57"/>
      <c r="QL9" s="57"/>
      <c r="QM9" s="57"/>
      <c r="QN9" s="57"/>
      <c r="QO9" s="57"/>
      <c r="QP9" s="57"/>
      <c r="QQ9" s="57"/>
      <c r="QR9" s="57"/>
      <c r="QS9" s="57"/>
      <c r="QT9" s="57"/>
      <c r="QU9" s="57"/>
      <c r="QV9" s="57"/>
      <c r="QW9" s="57"/>
      <c r="QX9" s="57"/>
      <c r="QY9" s="57"/>
      <c r="QZ9" s="41" t="s">
        <v>57</v>
      </c>
      <c r="RA9" s="42"/>
      <c r="RB9" s="42"/>
      <c r="RC9" s="42"/>
      <c r="RD9" s="42"/>
      <c r="RE9" s="42"/>
      <c r="RF9" s="42"/>
      <c r="RG9" s="42"/>
      <c r="RH9" s="42"/>
      <c r="RI9" s="42"/>
      <c r="RJ9" s="42"/>
      <c r="RK9" s="42"/>
      <c r="RL9" s="42"/>
      <c r="RM9" s="42"/>
      <c r="RN9" s="42"/>
      <c r="RO9" s="42"/>
      <c r="RP9" s="42"/>
      <c r="RQ9" s="42"/>
      <c r="RR9" s="42"/>
      <c r="RS9" s="42"/>
      <c r="RT9" s="39" t="s">
        <v>59</v>
      </c>
      <c r="RU9" s="40"/>
      <c r="RV9" s="40"/>
      <c r="RW9" s="40"/>
      <c r="RX9" s="40"/>
      <c r="RY9" s="40"/>
      <c r="RZ9" s="40"/>
      <c r="SA9" s="40"/>
      <c r="SB9" s="40"/>
      <c r="SC9" s="40"/>
      <c r="SD9" s="40"/>
      <c r="SE9" s="40"/>
      <c r="SF9" s="40"/>
      <c r="SG9" s="40"/>
      <c r="SH9" s="40"/>
      <c r="SI9" s="40"/>
      <c r="SJ9" s="40"/>
      <c r="SK9" s="40"/>
      <c r="SL9" s="40"/>
      <c r="SM9" s="40"/>
      <c r="SN9" s="56" t="s">
        <v>58</v>
      </c>
      <c r="SO9" s="57"/>
      <c r="SP9" s="57"/>
      <c r="SQ9" s="57"/>
      <c r="SR9" s="57"/>
      <c r="SS9" s="57"/>
      <c r="ST9" s="57"/>
      <c r="SU9" s="57"/>
      <c r="SV9" s="57"/>
      <c r="SW9" s="57"/>
      <c r="SX9" s="57"/>
      <c r="SY9" s="57"/>
      <c r="SZ9" s="57"/>
      <c r="TA9" s="57"/>
      <c r="TB9" s="57"/>
      <c r="TC9" s="57"/>
      <c r="TD9" s="57"/>
      <c r="TE9" s="57"/>
      <c r="TF9" s="57"/>
      <c r="TG9" s="57"/>
      <c r="TH9" s="41" t="s">
        <v>57</v>
      </c>
      <c r="TI9" s="42"/>
      <c r="TJ9" s="42"/>
      <c r="TK9" s="42"/>
      <c r="TL9" s="42"/>
      <c r="TM9" s="42"/>
      <c r="TN9" s="42"/>
      <c r="TO9" s="42"/>
      <c r="TP9" s="42"/>
      <c r="TQ9" s="42"/>
      <c r="TR9" s="42"/>
      <c r="TS9" s="42"/>
      <c r="TT9" s="42"/>
      <c r="TU9" s="42"/>
      <c r="TV9" s="42"/>
      <c r="TW9" s="42"/>
      <c r="TX9" s="42"/>
      <c r="TY9" s="42"/>
      <c r="TZ9" s="42"/>
      <c r="UA9" s="42"/>
      <c r="UB9" s="39" t="s">
        <v>59</v>
      </c>
      <c r="UC9" s="40"/>
      <c r="UD9" s="40"/>
      <c r="UE9" s="40"/>
      <c r="UF9" s="40"/>
      <c r="UG9" s="40"/>
      <c r="UH9" s="40"/>
      <c r="UI9" s="40"/>
      <c r="UJ9" s="40"/>
      <c r="UK9" s="40"/>
      <c r="UL9" s="40"/>
      <c r="UM9" s="40"/>
      <c r="UN9" s="40"/>
      <c r="UO9" s="40"/>
      <c r="UP9" s="40"/>
      <c r="UQ9" s="40"/>
      <c r="UR9" s="40"/>
      <c r="US9" s="40"/>
      <c r="UT9" s="40"/>
      <c r="UU9" s="40"/>
      <c r="UV9" s="56" t="s">
        <v>58</v>
      </c>
      <c r="UW9" s="57"/>
      <c r="UX9" s="57"/>
      <c r="UY9" s="57"/>
      <c r="UZ9" s="57"/>
      <c r="VA9" s="57"/>
      <c r="VB9" s="57"/>
      <c r="VC9" s="57"/>
      <c r="VD9" s="57"/>
      <c r="VE9" s="57"/>
      <c r="VF9" s="57"/>
      <c r="VG9" s="57"/>
      <c r="VH9" s="57"/>
      <c r="VI9" s="57"/>
      <c r="VJ9" s="57"/>
      <c r="VK9" s="57"/>
      <c r="VL9" s="57"/>
      <c r="VM9" s="57"/>
      <c r="VN9" s="57"/>
      <c r="VO9" s="57"/>
    </row>
    <row r="10" spans="2:587" x14ac:dyDescent="0.2">
      <c r="B10" s="48" t="s">
        <v>0</v>
      </c>
      <c r="C10" s="49"/>
      <c r="D10" s="45">
        <v>46054</v>
      </c>
      <c r="E10" s="45"/>
      <c r="F10" s="45">
        <f>D10+1</f>
        <v>46055</v>
      </c>
      <c r="G10" s="45"/>
      <c r="H10" s="45">
        <f>F10+1</f>
        <v>46056</v>
      </c>
      <c r="I10" s="45"/>
      <c r="J10" s="45">
        <f>H10+1</f>
        <v>46057</v>
      </c>
      <c r="K10" s="45"/>
      <c r="L10" s="45">
        <f>J10+1</f>
        <v>46058</v>
      </c>
      <c r="M10" s="45"/>
      <c r="N10" s="45">
        <f>L10+1</f>
        <v>46059</v>
      </c>
      <c r="O10" s="45"/>
      <c r="P10" s="45">
        <f>N10+1</f>
        <v>46060</v>
      </c>
      <c r="Q10" s="45"/>
      <c r="R10" s="45">
        <f>P10+1</f>
        <v>46061</v>
      </c>
      <c r="S10" s="45"/>
      <c r="T10" s="52">
        <f>R10+1</f>
        <v>46062</v>
      </c>
      <c r="U10" s="52"/>
      <c r="V10" s="45">
        <f>T10+1</f>
        <v>46063</v>
      </c>
      <c r="W10" s="45"/>
      <c r="X10" s="45">
        <f>V10+1</f>
        <v>46064</v>
      </c>
      <c r="Y10" s="45"/>
      <c r="Z10" s="45">
        <f>X10+1</f>
        <v>46065</v>
      </c>
      <c r="AA10" s="45"/>
      <c r="AB10" s="45">
        <f>Z10+1</f>
        <v>46066</v>
      </c>
      <c r="AC10" s="45"/>
      <c r="AD10" s="45">
        <f>AB10+1</f>
        <v>46067</v>
      </c>
      <c r="AE10" s="45"/>
      <c r="AF10" s="45">
        <f>AD10+1</f>
        <v>46068</v>
      </c>
      <c r="AG10" s="45"/>
      <c r="AH10" s="45">
        <f>AF10+1</f>
        <v>46069</v>
      </c>
      <c r="AI10" s="45"/>
      <c r="AJ10" s="45">
        <f>AH10+1</f>
        <v>46070</v>
      </c>
      <c r="AK10" s="45"/>
      <c r="AL10" s="45">
        <f>AJ10+1</f>
        <v>46071</v>
      </c>
      <c r="AM10" s="45"/>
      <c r="AN10" s="45">
        <f>AL10+1</f>
        <v>46072</v>
      </c>
      <c r="AO10" s="45"/>
      <c r="AP10" s="45">
        <f>AN10+1</f>
        <v>46073</v>
      </c>
      <c r="AQ10" s="45"/>
      <c r="AR10" s="45">
        <f>AP10+1</f>
        <v>46074</v>
      </c>
      <c r="AS10" s="45"/>
      <c r="AT10" s="45">
        <f>AR10+1</f>
        <v>46075</v>
      </c>
      <c r="AU10" s="45"/>
      <c r="AV10" s="45">
        <f>AT10+1</f>
        <v>46076</v>
      </c>
      <c r="AW10" s="45"/>
      <c r="AX10" s="45">
        <f>AV10+1</f>
        <v>46077</v>
      </c>
      <c r="AY10" s="45"/>
      <c r="AZ10" s="45">
        <f>AX10+1</f>
        <v>46078</v>
      </c>
      <c r="BA10" s="45"/>
      <c r="BB10" s="45">
        <f>AZ10+1</f>
        <v>46079</v>
      </c>
      <c r="BC10" s="45"/>
      <c r="BD10" s="45">
        <f>BB10+1</f>
        <v>46080</v>
      </c>
      <c r="BE10" s="45"/>
      <c r="BF10" s="45">
        <f>BD10+1</f>
        <v>46081</v>
      </c>
      <c r="BG10" s="45"/>
      <c r="BH10" s="45">
        <f>BF10+1</f>
        <v>46082</v>
      </c>
      <c r="BI10" s="45"/>
      <c r="BJ10" s="45">
        <f>BH10+1</f>
        <v>46083</v>
      </c>
      <c r="BK10" s="45"/>
      <c r="BL10" s="45">
        <f>BJ10+1</f>
        <v>46084</v>
      </c>
      <c r="BM10" s="45"/>
      <c r="BN10" s="45">
        <f>BL10+1</f>
        <v>46085</v>
      </c>
      <c r="BO10" s="45"/>
      <c r="BP10" s="45">
        <f>BN10+1</f>
        <v>46086</v>
      </c>
      <c r="BQ10" s="45"/>
      <c r="BR10" s="45">
        <f>BP10+1</f>
        <v>46087</v>
      </c>
      <c r="BS10" s="45"/>
      <c r="BT10" s="45">
        <f>BR10+1</f>
        <v>46088</v>
      </c>
      <c r="BU10" s="45"/>
      <c r="BV10" s="45">
        <f>BT10+1</f>
        <v>46089</v>
      </c>
      <c r="BW10" s="45"/>
      <c r="BX10" s="45">
        <f>BV10+1</f>
        <v>46090</v>
      </c>
      <c r="BY10" s="45"/>
      <c r="BZ10" s="45">
        <f>BX10+1</f>
        <v>46091</v>
      </c>
      <c r="CA10" s="45"/>
      <c r="CB10" s="45">
        <f>BZ10+1</f>
        <v>46092</v>
      </c>
      <c r="CC10" s="45"/>
      <c r="CD10" s="45">
        <f>CB10+1</f>
        <v>46093</v>
      </c>
      <c r="CE10" s="45"/>
      <c r="CF10" s="45">
        <f>CD10+1</f>
        <v>46094</v>
      </c>
      <c r="CG10" s="45"/>
      <c r="CH10" s="45">
        <f>CF10+1</f>
        <v>46095</v>
      </c>
      <c r="CI10" s="45"/>
      <c r="CJ10" s="45">
        <f>CH10+1</f>
        <v>46096</v>
      </c>
      <c r="CK10" s="45"/>
      <c r="CL10" s="45">
        <f>CJ10+1</f>
        <v>46097</v>
      </c>
      <c r="CM10" s="45"/>
      <c r="CN10" s="45">
        <f>CL10+1</f>
        <v>46098</v>
      </c>
      <c r="CO10" s="45"/>
      <c r="CP10" s="45">
        <f>CN10+1</f>
        <v>46099</v>
      </c>
      <c r="CQ10" s="45"/>
      <c r="CR10" s="45">
        <f>CP10+1</f>
        <v>46100</v>
      </c>
      <c r="CS10" s="45"/>
      <c r="CT10" s="45">
        <f>CR10+1</f>
        <v>46101</v>
      </c>
      <c r="CU10" s="45"/>
      <c r="CV10" s="45">
        <f>CT10+1</f>
        <v>46102</v>
      </c>
      <c r="CW10" s="45"/>
      <c r="CX10" s="45">
        <f>CV10+1</f>
        <v>46103</v>
      </c>
      <c r="CY10" s="45"/>
      <c r="CZ10" s="45">
        <f>CX10+1</f>
        <v>46104</v>
      </c>
      <c r="DA10" s="45"/>
      <c r="DB10" s="45">
        <f>CZ10+1</f>
        <v>46105</v>
      </c>
      <c r="DC10" s="45"/>
      <c r="DD10" s="45">
        <f>DB10+1</f>
        <v>46106</v>
      </c>
      <c r="DE10" s="45"/>
      <c r="DF10" s="45">
        <f>DD10+1</f>
        <v>46107</v>
      </c>
      <c r="DG10" s="45"/>
      <c r="DH10" s="45">
        <f>DF10+1</f>
        <v>46108</v>
      </c>
      <c r="DI10" s="45"/>
      <c r="DJ10" s="45">
        <f>DH10+1</f>
        <v>46109</v>
      </c>
      <c r="DK10" s="45"/>
      <c r="DL10" s="45">
        <f>DJ10+1</f>
        <v>46110</v>
      </c>
      <c r="DM10" s="45"/>
      <c r="DN10" s="45">
        <f>DL10+1</f>
        <v>46111</v>
      </c>
      <c r="DO10" s="45"/>
      <c r="DP10" s="45">
        <f>DN10+1</f>
        <v>46112</v>
      </c>
      <c r="DQ10" s="45"/>
      <c r="DR10" s="45">
        <f>DP10+1</f>
        <v>46113</v>
      </c>
      <c r="DS10" s="45"/>
      <c r="DT10" s="45">
        <f>DR10+1</f>
        <v>46114</v>
      </c>
      <c r="DU10" s="45"/>
      <c r="DV10" s="45">
        <f>DT10+1</f>
        <v>46115</v>
      </c>
      <c r="DW10" s="45"/>
      <c r="DX10" s="45">
        <f>DV10+1</f>
        <v>46116</v>
      </c>
      <c r="DY10" s="45"/>
      <c r="DZ10" s="45">
        <f>DX10+1</f>
        <v>46117</v>
      </c>
      <c r="EA10" s="45"/>
      <c r="EB10" s="45">
        <f>DZ10+1</f>
        <v>46118</v>
      </c>
      <c r="EC10" s="45"/>
      <c r="ED10" s="45">
        <f>EB10+1</f>
        <v>46119</v>
      </c>
      <c r="EE10" s="45"/>
      <c r="EF10" s="45">
        <f>ED10+1</f>
        <v>46120</v>
      </c>
      <c r="EG10" s="45"/>
      <c r="EH10" s="45">
        <f>EF10+1</f>
        <v>46121</v>
      </c>
      <c r="EI10" s="45"/>
      <c r="EJ10" s="45">
        <f>EH10+1</f>
        <v>46122</v>
      </c>
      <c r="EK10" s="45"/>
      <c r="EL10" s="45">
        <f>EJ10+1</f>
        <v>46123</v>
      </c>
      <c r="EM10" s="45"/>
      <c r="EN10" s="45">
        <f>EL10+1</f>
        <v>46124</v>
      </c>
      <c r="EO10" s="45"/>
      <c r="EP10" s="45">
        <f>EN10+1</f>
        <v>46125</v>
      </c>
      <c r="EQ10" s="45"/>
      <c r="ER10" s="45">
        <f>EP10+1</f>
        <v>46126</v>
      </c>
      <c r="ES10" s="45"/>
      <c r="ET10" s="45">
        <f>ER10+1</f>
        <v>46127</v>
      </c>
      <c r="EU10" s="45"/>
      <c r="EV10" s="45">
        <f>ET10+1</f>
        <v>46128</v>
      </c>
      <c r="EW10" s="45"/>
      <c r="EX10" s="45">
        <f>EV10+1</f>
        <v>46129</v>
      </c>
      <c r="EY10" s="45"/>
      <c r="EZ10" s="45">
        <f>EX10+1</f>
        <v>46130</v>
      </c>
      <c r="FA10" s="45"/>
      <c r="FB10" s="45">
        <f>EZ10+1</f>
        <v>46131</v>
      </c>
      <c r="FC10" s="45"/>
      <c r="FD10" s="45">
        <f>FB10+1</f>
        <v>46132</v>
      </c>
      <c r="FE10" s="45"/>
      <c r="FF10" s="45">
        <f>FD10+1</f>
        <v>46133</v>
      </c>
      <c r="FG10" s="45"/>
      <c r="FH10" s="45">
        <f>FF10+1</f>
        <v>46134</v>
      </c>
      <c r="FI10" s="45"/>
      <c r="FJ10" s="45">
        <f>FH10+1</f>
        <v>46135</v>
      </c>
      <c r="FK10" s="45"/>
      <c r="FL10" s="45">
        <f>FJ10+1</f>
        <v>46136</v>
      </c>
      <c r="FM10" s="45"/>
      <c r="FN10" s="45">
        <f>FL10+1</f>
        <v>46137</v>
      </c>
      <c r="FO10" s="45"/>
      <c r="FP10" s="45">
        <f>FN10+1</f>
        <v>46138</v>
      </c>
      <c r="FQ10" s="45"/>
      <c r="FR10" s="45">
        <f>FP10+1</f>
        <v>46139</v>
      </c>
      <c r="FS10" s="45"/>
      <c r="FT10" s="45">
        <f>FR10+1</f>
        <v>46140</v>
      </c>
      <c r="FU10" s="45"/>
      <c r="FV10" s="45">
        <f>FT10+1</f>
        <v>46141</v>
      </c>
      <c r="FW10" s="45"/>
      <c r="FX10" s="45">
        <f>FV10+1</f>
        <v>46142</v>
      </c>
      <c r="FY10" s="45"/>
      <c r="FZ10" s="45">
        <f>FX10+1</f>
        <v>46143</v>
      </c>
      <c r="GA10" s="45"/>
      <c r="GB10" s="45">
        <f>FZ10+1</f>
        <v>46144</v>
      </c>
      <c r="GC10" s="45"/>
      <c r="GD10" s="45">
        <f>GB10+1</f>
        <v>46145</v>
      </c>
      <c r="GE10" s="45"/>
      <c r="GF10" s="45">
        <f>GD10+1</f>
        <v>46146</v>
      </c>
      <c r="GG10" s="45"/>
      <c r="GH10" s="45">
        <f>GF10+1</f>
        <v>46147</v>
      </c>
      <c r="GI10" s="45"/>
      <c r="GJ10" s="45">
        <f>GH10+1</f>
        <v>46148</v>
      </c>
      <c r="GK10" s="45"/>
      <c r="GL10" s="45">
        <f>GJ10+1</f>
        <v>46149</v>
      </c>
      <c r="GM10" s="45"/>
      <c r="GN10" s="45">
        <f>GL10+1</f>
        <v>46150</v>
      </c>
      <c r="GO10" s="45"/>
      <c r="GP10" s="45">
        <f>GN10+1</f>
        <v>46151</v>
      </c>
      <c r="GQ10" s="45"/>
      <c r="GR10" s="45">
        <f>GP10+1</f>
        <v>46152</v>
      </c>
      <c r="GS10" s="45"/>
      <c r="GT10" s="45">
        <f>GR10+1</f>
        <v>46153</v>
      </c>
      <c r="GU10" s="45"/>
      <c r="GV10" s="45">
        <f>GT10+1</f>
        <v>46154</v>
      </c>
      <c r="GW10" s="45"/>
      <c r="GX10" s="45">
        <f>GV10+1</f>
        <v>46155</v>
      </c>
      <c r="GY10" s="45"/>
      <c r="GZ10" s="45">
        <f>GX10+1</f>
        <v>46156</v>
      </c>
      <c r="HA10" s="45"/>
      <c r="HB10" s="45">
        <f>GZ10+1</f>
        <v>46157</v>
      </c>
      <c r="HC10" s="45"/>
      <c r="HD10" s="45">
        <f>HB10+1</f>
        <v>46158</v>
      </c>
      <c r="HE10" s="45"/>
      <c r="HF10" s="45">
        <f>HD10+1</f>
        <v>46159</v>
      </c>
      <c r="HG10" s="45"/>
      <c r="HH10" s="45">
        <f>HF10+1</f>
        <v>46160</v>
      </c>
      <c r="HI10" s="45"/>
      <c r="HJ10" s="45">
        <f>HH10+1</f>
        <v>46161</v>
      </c>
      <c r="HK10" s="45"/>
      <c r="HL10" s="45">
        <f t="shared" ref="HL10" si="0">HJ10+1</f>
        <v>46162</v>
      </c>
      <c r="HM10" s="45"/>
      <c r="HN10" s="45">
        <f t="shared" ref="HN10" si="1">HL10+1</f>
        <v>46163</v>
      </c>
      <c r="HO10" s="45"/>
      <c r="HP10" s="45">
        <f t="shared" ref="HP10" si="2">HN10+1</f>
        <v>46164</v>
      </c>
      <c r="HQ10" s="45"/>
      <c r="HR10" s="45">
        <f>HP10+1</f>
        <v>46165</v>
      </c>
      <c r="HS10" s="45"/>
      <c r="HT10" s="45">
        <f t="shared" ref="HT10" si="3">HR10+1</f>
        <v>46166</v>
      </c>
      <c r="HU10" s="45"/>
      <c r="HV10" s="45">
        <f t="shared" ref="HV10" si="4">HT10+1</f>
        <v>46167</v>
      </c>
      <c r="HW10" s="45"/>
      <c r="HX10" s="45">
        <f t="shared" ref="HX10" si="5">HV10+1</f>
        <v>46168</v>
      </c>
      <c r="HY10" s="45"/>
      <c r="HZ10" s="45">
        <f t="shared" ref="HZ10" si="6">HX10+1</f>
        <v>46169</v>
      </c>
      <c r="IA10" s="45"/>
      <c r="IB10" s="45">
        <f t="shared" ref="IB10" si="7">HZ10+1</f>
        <v>46170</v>
      </c>
      <c r="IC10" s="45"/>
      <c r="ID10" s="45">
        <f t="shared" ref="ID10" si="8">IB10+1</f>
        <v>46171</v>
      </c>
      <c r="IE10" s="45"/>
      <c r="IF10" s="45">
        <f t="shared" ref="IF10" si="9">ID10+1</f>
        <v>46172</v>
      </c>
      <c r="IG10" s="45"/>
      <c r="IH10" s="45">
        <f t="shared" ref="IH10" si="10">IF10+1</f>
        <v>46173</v>
      </c>
      <c r="II10" s="45"/>
      <c r="IJ10" s="45">
        <f t="shared" ref="IJ10" si="11">IH10+1</f>
        <v>46174</v>
      </c>
      <c r="IK10" s="45"/>
      <c r="IL10" s="45">
        <f t="shared" ref="IL10" si="12">IJ10+1</f>
        <v>46175</v>
      </c>
      <c r="IM10" s="45"/>
      <c r="IN10" s="45">
        <f t="shared" ref="IN10" si="13">IL10+1</f>
        <v>46176</v>
      </c>
      <c r="IO10" s="45"/>
      <c r="IP10" s="45">
        <f t="shared" ref="IP10" si="14">IN10+1</f>
        <v>46177</v>
      </c>
      <c r="IQ10" s="45"/>
      <c r="IR10" s="45">
        <f t="shared" ref="IR10" si="15">IP10+1</f>
        <v>46178</v>
      </c>
      <c r="IS10" s="45"/>
      <c r="IT10" s="45">
        <f t="shared" ref="IT10" si="16">IR10+1</f>
        <v>46179</v>
      </c>
      <c r="IU10" s="45"/>
      <c r="IV10" s="45">
        <f t="shared" ref="IV10" si="17">IT10+1</f>
        <v>46180</v>
      </c>
      <c r="IW10" s="45"/>
      <c r="IX10" s="45">
        <f t="shared" ref="IX10" si="18">IV10+1</f>
        <v>46181</v>
      </c>
      <c r="IY10" s="45"/>
      <c r="IZ10" s="45">
        <f t="shared" ref="IZ10" si="19">IX10+1</f>
        <v>46182</v>
      </c>
      <c r="JA10" s="45"/>
      <c r="JB10" s="45">
        <f t="shared" ref="JB10" si="20">IZ10+1</f>
        <v>46183</v>
      </c>
      <c r="JC10" s="45"/>
      <c r="JD10" s="45">
        <f t="shared" ref="JD10" si="21">JB10+1</f>
        <v>46184</v>
      </c>
      <c r="JE10" s="45"/>
      <c r="JF10" s="45">
        <f t="shared" ref="JF10" si="22">JD10+1</f>
        <v>46185</v>
      </c>
      <c r="JG10" s="45"/>
      <c r="JH10" s="45">
        <f t="shared" ref="JH10" si="23">JF10+1</f>
        <v>46186</v>
      </c>
      <c r="JI10" s="45"/>
      <c r="JJ10" s="45">
        <f t="shared" ref="JJ10" si="24">JH10+1</f>
        <v>46187</v>
      </c>
      <c r="JK10" s="45"/>
      <c r="JL10" s="45">
        <f t="shared" ref="JL10" si="25">JJ10+1</f>
        <v>46188</v>
      </c>
      <c r="JM10" s="45"/>
      <c r="JN10" s="45">
        <f t="shared" ref="JN10" si="26">JL10+1</f>
        <v>46189</v>
      </c>
      <c r="JO10" s="45"/>
      <c r="JP10" s="45">
        <f t="shared" ref="JP10" si="27">JN10+1</f>
        <v>46190</v>
      </c>
      <c r="JQ10" s="45"/>
      <c r="JR10" s="45">
        <f t="shared" ref="JR10" si="28">JP10+1</f>
        <v>46191</v>
      </c>
      <c r="JS10" s="45"/>
      <c r="JT10" s="45">
        <f t="shared" ref="JT10" si="29">JR10+1</f>
        <v>46192</v>
      </c>
      <c r="JU10" s="45"/>
      <c r="JV10" s="45">
        <f t="shared" ref="JV10" si="30">JT10+1</f>
        <v>46193</v>
      </c>
      <c r="JW10" s="45"/>
      <c r="JX10" s="45">
        <f t="shared" ref="JX10" si="31">JV10+1</f>
        <v>46194</v>
      </c>
      <c r="JY10" s="45"/>
      <c r="JZ10" s="45">
        <f t="shared" ref="JZ10" si="32">JX10+1</f>
        <v>46195</v>
      </c>
      <c r="KA10" s="45"/>
      <c r="KB10" s="45">
        <f t="shared" ref="KB10" si="33">JZ10+1</f>
        <v>46196</v>
      </c>
      <c r="KC10" s="45"/>
      <c r="KD10" s="45">
        <f t="shared" ref="KD10" si="34">KB10+1</f>
        <v>46197</v>
      </c>
      <c r="KE10" s="45"/>
      <c r="KF10" s="45">
        <f t="shared" ref="KF10" si="35">KD10+1</f>
        <v>46198</v>
      </c>
      <c r="KG10" s="45"/>
      <c r="KH10" s="45">
        <f t="shared" ref="KH10" si="36">KF10+1</f>
        <v>46199</v>
      </c>
      <c r="KI10" s="45"/>
      <c r="KJ10" s="45">
        <f t="shared" ref="KJ10" si="37">KH10+1</f>
        <v>46200</v>
      </c>
      <c r="KK10" s="45"/>
      <c r="KL10" s="45">
        <f t="shared" ref="KL10" si="38">KJ10+1</f>
        <v>46201</v>
      </c>
      <c r="KM10" s="45"/>
      <c r="KN10" s="45">
        <f t="shared" ref="KN10" si="39">KL10+1</f>
        <v>46202</v>
      </c>
      <c r="KO10" s="45"/>
      <c r="KP10" s="45">
        <f t="shared" ref="KP10" si="40">KN10+1</f>
        <v>46203</v>
      </c>
      <c r="KQ10" s="45"/>
      <c r="KR10" s="45">
        <f t="shared" ref="KR10" si="41">KP10+1</f>
        <v>46204</v>
      </c>
      <c r="KS10" s="45"/>
      <c r="KT10" s="45">
        <f t="shared" ref="KT10" si="42">KR10+1</f>
        <v>46205</v>
      </c>
      <c r="KU10" s="45"/>
      <c r="KV10" s="45">
        <f t="shared" ref="KV10" si="43">KT10+1</f>
        <v>46206</v>
      </c>
      <c r="KW10" s="45"/>
      <c r="KX10" s="45">
        <f t="shared" ref="KX10" si="44">KV10+1</f>
        <v>46207</v>
      </c>
      <c r="KY10" s="45"/>
      <c r="KZ10" s="45">
        <f t="shared" ref="KZ10" si="45">KX10+1</f>
        <v>46208</v>
      </c>
      <c r="LA10" s="45"/>
      <c r="LB10" s="45">
        <f t="shared" ref="LB10" si="46">KZ10+1</f>
        <v>46209</v>
      </c>
      <c r="LC10" s="45"/>
      <c r="LD10" s="45">
        <f t="shared" ref="LD10" si="47">LB10+1</f>
        <v>46210</v>
      </c>
      <c r="LE10" s="45"/>
      <c r="LF10" s="45">
        <f t="shared" ref="LF10" si="48">LD10+1</f>
        <v>46211</v>
      </c>
      <c r="LG10" s="45"/>
      <c r="LH10" s="45">
        <f t="shared" ref="LH10" si="49">LF10+1</f>
        <v>46212</v>
      </c>
      <c r="LI10" s="45"/>
      <c r="LJ10" s="45">
        <f t="shared" ref="LJ10" si="50">LH10+1</f>
        <v>46213</v>
      </c>
      <c r="LK10" s="45"/>
      <c r="LL10" s="45">
        <f t="shared" ref="LL10" si="51">LJ10+1</f>
        <v>46214</v>
      </c>
      <c r="LM10" s="45"/>
      <c r="LN10" s="45">
        <f t="shared" ref="LN10" si="52">LL10+1</f>
        <v>46215</v>
      </c>
      <c r="LO10" s="45"/>
      <c r="LP10" s="53">
        <f t="shared" ref="LP10" si="53">LN10+1</f>
        <v>46216</v>
      </c>
      <c r="LQ10" s="53"/>
      <c r="LR10" s="45">
        <f t="shared" ref="LR10" si="54">LP10+1</f>
        <v>46217</v>
      </c>
      <c r="LS10" s="45"/>
      <c r="LT10" s="45">
        <f t="shared" ref="LT10" si="55">LR10+1</f>
        <v>46218</v>
      </c>
      <c r="LU10" s="45"/>
      <c r="LV10" s="45">
        <f t="shared" ref="LV10" si="56">LT10+1</f>
        <v>46219</v>
      </c>
      <c r="LW10" s="45"/>
      <c r="LX10" s="45">
        <f t="shared" ref="LX10" si="57">LV10+1</f>
        <v>46220</v>
      </c>
      <c r="LY10" s="45"/>
      <c r="LZ10" s="45">
        <f t="shared" ref="LZ10" si="58">LX10+1</f>
        <v>46221</v>
      </c>
      <c r="MA10" s="45"/>
      <c r="MB10" s="45">
        <f t="shared" ref="MB10" si="59">LZ10+1</f>
        <v>46222</v>
      </c>
      <c r="MC10" s="45"/>
      <c r="MD10" s="45">
        <f t="shared" ref="MD10" si="60">MB10+1</f>
        <v>46223</v>
      </c>
      <c r="ME10" s="45"/>
      <c r="MF10" s="45">
        <f t="shared" ref="MF10" si="61">MD10+1</f>
        <v>46224</v>
      </c>
      <c r="MG10" s="45"/>
      <c r="MH10" s="45">
        <f t="shared" ref="MH10" si="62">MF10+1</f>
        <v>46225</v>
      </c>
      <c r="MI10" s="45"/>
      <c r="MJ10" s="45">
        <f t="shared" ref="MJ10" si="63">MH10+1</f>
        <v>46226</v>
      </c>
      <c r="MK10" s="45"/>
      <c r="ML10" s="45">
        <f t="shared" ref="ML10" si="64">MJ10+1</f>
        <v>46227</v>
      </c>
      <c r="MM10" s="45"/>
      <c r="MN10" s="45">
        <f t="shared" ref="MN10" si="65">ML10+1</f>
        <v>46228</v>
      </c>
      <c r="MO10" s="45"/>
      <c r="MP10" s="45">
        <f t="shared" ref="MP10" si="66">MN10+1</f>
        <v>46229</v>
      </c>
      <c r="MQ10" s="45"/>
      <c r="MR10" s="45">
        <f t="shared" ref="MR10" si="67">MP10+1</f>
        <v>46230</v>
      </c>
      <c r="MS10" s="45"/>
      <c r="MT10" s="45">
        <f t="shared" ref="MT10" si="68">MR10+1</f>
        <v>46231</v>
      </c>
      <c r="MU10" s="45"/>
      <c r="MV10" s="45">
        <f t="shared" ref="MV10" si="69">MT10+1</f>
        <v>46232</v>
      </c>
      <c r="MW10" s="45"/>
      <c r="MX10" s="45">
        <f t="shared" ref="MX10" si="70">MV10+1</f>
        <v>46233</v>
      </c>
      <c r="MY10" s="45"/>
      <c r="MZ10" s="45">
        <f t="shared" ref="MZ10" si="71">MX10+1</f>
        <v>46234</v>
      </c>
      <c r="NA10" s="45"/>
      <c r="NB10" s="45">
        <f t="shared" ref="NB10" si="72">MZ10+1</f>
        <v>46235</v>
      </c>
      <c r="NC10" s="45"/>
      <c r="ND10" s="45">
        <f t="shared" ref="ND10" si="73">NB10+1</f>
        <v>46236</v>
      </c>
      <c r="NE10" s="45"/>
      <c r="NF10" s="45">
        <f t="shared" ref="NF10" si="74">ND10+1</f>
        <v>46237</v>
      </c>
      <c r="NG10" s="45"/>
      <c r="NH10" s="45">
        <f t="shared" ref="NH10" si="75">NF10+1</f>
        <v>46238</v>
      </c>
      <c r="NI10" s="45"/>
      <c r="NJ10" s="45">
        <f t="shared" ref="NJ10" si="76">NH10+1</f>
        <v>46239</v>
      </c>
      <c r="NK10" s="45"/>
      <c r="NL10" s="45">
        <f t="shared" ref="NL10" si="77">NJ10+1</f>
        <v>46240</v>
      </c>
      <c r="NM10" s="45"/>
      <c r="NN10" s="45">
        <f t="shared" ref="NN10" si="78">NL10+1</f>
        <v>46241</v>
      </c>
      <c r="NO10" s="45"/>
      <c r="NP10" s="45">
        <f t="shared" ref="NP10" si="79">NN10+1</f>
        <v>46242</v>
      </c>
      <c r="NQ10" s="45"/>
      <c r="NR10" s="45">
        <f t="shared" ref="NR10" si="80">NP10+1</f>
        <v>46243</v>
      </c>
      <c r="NS10" s="45"/>
      <c r="NT10" s="45">
        <f t="shared" ref="NT10" si="81">NR10+1</f>
        <v>46244</v>
      </c>
      <c r="NU10" s="45"/>
      <c r="NV10" s="45">
        <f t="shared" ref="NV10" si="82">NT10+1</f>
        <v>46245</v>
      </c>
      <c r="NW10" s="45"/>
      <c r="NX10" s="45">
        <f t="shared" ref="NX10" si="83">NV10+1</f>
        <v>46246</v>
      </c>
      <c r="NY10" s="45"/>
      <c r="NZ10" s="45">
        <f t="shared" ref="NZ10" si="84">NX10+1</f>
        <v>46247</v>
      </c>
      <c r="OA10" s="45"/>
      <c r="OB10" s="45">
        <f t="shared" ref="OB10" si="85">NZ10+1</f>
        <v>46248</v>
      </c>
      <c r="OC10" s="45"/>
      <c r="OD10" s="45">
        <f t="shared" ref="OD10" si="86">OB10+1</f>
        <v>46249</v>
      </c>
      <c r="OE10" s="45"/>
      <c r="OF10" s="45">
        <f t="shared" ref="OF10" si="87">OD10+1</f>
        <v>46250</v>
      </c>
      <c r="OG10" s="45"/>
      <c r="OH10" s="45">
        <f t="shared" ref="OH10" si="88">OF10+1</f>
        <v>46251</v>
      </c>
      <c r="OI10" s="45"/>
      <c r="OJ10" s="45">
        <f t="shared" ref="OJ10" si="89">OH10+1</f>
        <v>46252</v>
      </c>
      <c r="OK10" s="45"/>
      <c r="OL10" s="45">
        <f t="shared" ref="OL10" si="90">OJ10+1</f>
        <v>46253</v>
      </c>
      <c r="OM10" s="45"/>
      <c r="ON10" s="45">
        <f t="shared" ref="ON10" si="91">OL10+1</f>
        <v>46254</v>
      </c>
      <c r="OO10" s="45"/>
      <c r="OP10" s="45">
        <f t="shared" ref="OP10" si="92">ON10+1</f>
        <v>46255</v>
      </c>
      <c r="OQ10" s="45"/>
      <c r="OR10" s="45">
        <f t="shared" ref="OR10" si="93">OP10+1</f>
        <v>46256</v>
      </c>
      <c r="OS10" s="45"/>
      <c r="OT10" s="45">
        <f t="shared" ref="OT10" si="94">OR10+1</f>
        <v>46257</v>
      </c>
      <c r="OU10" s="45"/>
      <c r="OV10" s="45">
        <f t="shared" ref="OV10" si="95">OT10+1</f>
        <v>46258</v>
      </c>
      <c r="OW10" s="45"/>
      <c r="OX10" s="45">
        <f t="shared" ref="OX10" si="96">OV10+1</f>
        <v>46259</v>
      </c>
      <c r="OY10" s="45"/>
      <c r="OZ10" s="45">
        <f t="shared" ref="OZ10" si="97">OX10+1</f>
        <v>46260</v>
      </c>
      <c r="PA10" s="45"/>
      <c r="PB10" s="45">
        <f t="shared" ref="PB10" si="98">OZ10+1</f>
        <v>46261</v>
      </c>
      <c r="PC10" s="45"/>
      <c r="PD10" s="45">
        <f t="shared" ref="PD10" si="99">PB10+1</f>
        <v>46262</v>
      </c>
      <c r="PE10" s="45"/>
      <c r="PF10" s="45">
        <f t="shared" ref="PF10" si="100">PD10+1</f>
        <v>46263</v>
      </c>
      <c r="PG10" s="45"/>
      <c r="PH10" s="45">
        <f t="shared" ref="PH10" si="101">PF10+1</f>
        <v>46264</v>
      </c>
      <c r="PI10" s="45"/>
      <c r="PJ10" s="45">
        <f t="shared" ref="PJ10" si="102">PH10+1</f>
        <v>46265</v>
      </c>
      <c r="PK10" s="45"/>
      <c r="PL10" s="45">
        <f t="shared" ref="PL10" si="103">PJ10+1</f>
        <v>46266</v>
      </c>
      <c r="PM10" s="45"/>
      <c r="PN10" s="45">
        <f t="shared" ref="PN10" si="104">PL10+1</f>
        <v>46267</v>
      </c>
      <c r="PO10" s="45"/>
      <c r="PP10" s="45">
        <f t="shared" ref="PP10" si="105">PN10+1</f>
        <v>46268</v>
      </c>
      <c r="PQ10" s="45"/>
      <c r="PR10" s="45">
        <f t="shared" ref="PR10" si="106">PP10+1</f>
        <v>46269</v>
      </c>
      <c r="PS10" s="45"/>
      <c r="PT10" s="45">
        <f t="shared" ref="PT10" si="107">PR10+1</f>
        <v>46270</v>
      </c>
      <c r="PU10" s="45"/>
      <c r="PV10" s="45">
        <f t="shared" ref="PV10" si="108">PT10+1</f>
        <v>46271</v>
      </c>
      <c r="PW10" s="45"/>
      <c r="PX10" s="45">
        <f t="shared" ref="PX10" si="109">PV10+1</f>
        <v>46272</v>
      </c>
      <c r="PY10" s="45"/>
      <c r="PZ10" s="45">
        <f t="shared" ref="PZ10" si="110">PX10+1</f>
        <v>46273</v>
      </c>
      <c r="QA10" s="45"/>
      <c r="QB10" s="45">
        <f t="shared" ref="QB10" si="111">PZ10+1</f>
        <v>46274</v>
      </c>
      <c r="QC10" s="45"/>
      <c r="QD10" s="45">
        <f t="shared" ref="QD10" si="112">QB10+1</f>
        <v>46275</v>
      </c>
      <c r="QE10" s="45"/>
      <c r="QF10" s="45">
        <f t="shared" ref="QF10" si="113">QD10+1</f>
        <v>46276</v>
      </c>
      <c r="QG10" s="45"/>
      <c r="QH10" s="45">
        <f t="shared" ref="QH10" si="114">QF10+1</f>
        <v>46277</v>
      </c>
      <c r="QI10" s="45"/>
      <c r="QJ10" s="45">
        <f t="shared" ref="QJ10" si="115">QH10+1</f>
        <v>46278</v>
      </c>
      <c r="QK10" s="45"/>
      <c r="QL10" s="45">
        <f t="shared" ref="QL10" si="116">QJ10+1</f>
        <v>46279</v>
      </c>
      <c r="QM10" s="45"/>
      <c r="QN10" s="45">
        <f t="shared" ref="QN10" si="117">QL10+1</f>
        <v>46280</v>
      </c>
      <c r="QO10" s="45"/>
      <c r="QP10" s="45">
        <f t="shared" ref="QP10" si="118">QN10+1</f>
        <v>46281</v>
      </c>
      <c r="QQ10" s="45"/>
      <c r="QR10" s="45">
        <f t="shared" ref="QR10" si="119">QP10+1</f>
        <v>46282</v>
      </c>
      <c r="QS10" s="45"/>
      <c r="QT10" s="45">
        <f t="shared" ref="QT10" si="120">QR10+1</f>
        <v>46283</v>
      </c>
      <c r="QU10" s="45"/>
      <c r="QV10" s="45">
        <f t="shared" ref="QV10" si="121">QT10+1</f>
        <v>46284</v>
      </c>
      <c r="QW10" s="45"/>
      <c r="QX10" s="45">
        <f t="shared" ref="QX10" si="122">QV10+1</f>
        <v>46285</v>
      </c>
      <c r="QY10" s="45"/>
      <c r="QZ10" s="45">
        <f t="shared" ref="QZ10" si="123">QX10+1</f>
        <v>46286</v>
      </c>
      <c r="RA10" s="45"/>
      <c r="RB10" s="45">
        <f t="shared" ref="RB10" si="124">QZ10+1</f>
        <v>46287</v>
      </c>
      <c r="RC10" s="45"/>
      <c r="RD10" s="45">
        <f t="shared" ref="RD10" si="125">RB10+1</f>
        <v>46288</v>
      </c>
      <c r="RE10" s="45"/>
      <c r="RF10" s="45">
        <f t="shared" ref="RF10" si="126">RD10+1</f>
        <v>46289</v>
      </c>
      <c r="RG10" s="45"/>
      <c r="RH10" s="45">
        <f t="shared" ref="RH10" si="127">RF10+1</f>
        <v>46290</v>
      </c>
      <c r="RI10" s="45"/>
      <c r="RJ10" s="45">
        <f t="shared" ref="RJ10" si="128">RH10+1</f>
        <v>46291</v>
      </c>
      <c r="RK10" s="45"/>
      <c r="RL10" s="45">
        <f t="shared" ref="RL10" si="129">RJ10+1</f>
        <v>46292</v>
      </c>
      <c r="RM10" s="45"/>
      <c r="RN10" s="45">
        <f t="shared" ref="RN10" si="130">RL10+1</f>
        <v>46293</v>
      </c>
      <c r="RO10" s="45"/>
      <c r="RP10" s="45">
        <f t="shared" ref="RP10" si="131">RN10+1</f>
        <v>46294</v>
      </c>
      <c r="RQ10" s="45"/>
      <c r="RR10" s="45">
        <f t="shared" ref="RR10" si="132">RP10+1</f>
        <v>46295</v>
      </c>
      <c r="RS10" s="45"/>
      <c r="RT10" s="45">
        <f t="shared" ref="RT10" si="133">RR10+1</f>
        <v>46296</v>
      </c>
      <c r="RU10" s="45"/>
      <c r="RV10" s="45">
        <f t="shared" ref="RV10" si="134">RT10+1</f>
        <v>46297</v>
      </c>
      <c r="RW10" s="45"/>
      <c r="RX10" s="45">
        <f t="shared" ref="RX10" si="135">RV10+1</f>
        <v>46298</v>
      </c>
      <c r="RY10" s="45"/>
      <c r="RZ10" s="45">
        <f t="shared" ref="RZ10" si="136">RX10+1</f>
        <v>46299</v>
      </c>
      <c r="SA10" s="45"/>
      <c r="SB10" s="45">
        <f t="shared" ref="SB10" si="137">RZ10+1</f>
        <v>46300</v>
      </c>
      <c r="SC10" s="45"/>
      <c r="SD10" s="45">
        <f t="shared" ref="SD10" si="138">SB10+1</f>
        <v>46301</v>
      </c>
      <c r="SE10" s="45"/>
      <c r="SF10" s="45">
        <f t="shared" ref="SF10" si="139">SD10+1</f>
        <v>46302</v>
      </c>
      <c r="SG10" s="45"/>
      <c r="SH10" s="45">
        <f t="shared" ref="SH10" si="140">SF10+1</f>
        <v>46303</v>
      </c>
      <c r="SI10" s="45"/>
      <c r="SJ10" s="45">
        <f t="shared" ref="SJ10" si="141">SH10+1</f>
        <v>46304</v>
      </c>
      <c r="SK10" s="45"/>
      <c r="SL10" s="45">
        <f t="shared" ref="SL10" si="142">SJ10+1</f>
        <v>46305</v>
      </c>
      <c r="SM10" s="45"/>
      <c r="SN10" s="45">
        <f t="shared" ref="SN10" si="143">SL10+1</f>
        <v>46306</v>
      </c>
      <c r="SO10" s="45"/>
      <c r="SP10" s="45">
        <f t="shared" ref="SP10" si="144">SN10+1</f>
        <v>46307</v>
      </c>
      <c r="SQ10" s="45"/>
      <c r="SR10" s="45">
        <f t="shared" ref="SR10" si="145">SP10+1</f>
        <v>46308</v>
      </c>
      <c r="SS10" s="45"/>
      <c r="ST10" s="45">
        <f t="shared" ref="ST10" si="146">SR10+1</f>
        <v>46309</v>
      </c>
      <c r="SU10" s="45"/>
      <c r="SV10" s="45">
        <f t="shared" ref="SV10" si="147">ST10+1</f>
        <v>46310</v>
      </c>
      <c r="SW10" s="45"/>
      <c r="SX10" s="45">
        <f t="shared" ref="SX10" si="148">SV10+1</f>
        <v>46311</v>
      </c>
      <c r="SY10" s="45"/>
      <c r="SZ10" s="45">
        <f t="shared" ref="SZ10" si="149">SX10+1</f>
        <v>46312</v>
      </c>
      <c r="TA10" s="45"/>
      <c r="TB10" s="45">
        <f t="shared" ref="TB10" si="150">SZ10+1</f>
        <v>46313</v>
      </c>
      <c r="TC10" s="45"/>
      <c r="TD10" s="45">
        <f t="shared" ref="TD10" si="151">TB10+1</f>
        <v>46314</v>
      </c>
      <c r="TE10" s="45"/>
      <c r="TF10" s="45">
        <f t="shared" ref="TF10" si="152">TD10+1</f>
        <v>46315</v>
      </c>
      <c r="TG10" s="45"/>
      <c r="TH10" s="45">
        <f t="shared" ref="TH10" si="153">TF10+1</f>
        <v>46316</v>
      </c>
      <c r="TI10" s="45"/>
      <c r="TJ10" s="45">
        <f t="shared" ref="TJ10" si="154">TH10+1</f>
        <v>46317</v>
      </c>
      <c r="TK10" s="45"/>
      <c r="TL10" s="45">
        <f t="shared" ref="TL10" si="155">TJ10+1</f>
        <v>46318</v>
      </c>
      <c r="TM10" s="45"/>
      <c r="TN10" s="45">
        <f t="shared" ref="TN10" si="156">TL10+1</f>
        <v>46319</v>
      </c>
      <c r="TO10" s="45"/>
      <c r="TP10" s="45">
        <f t="shared" ref="TP10" si="157">TN10+1</f>
        <v>46320</v>
      </c>
      <c r="TQ10" s="45"/>
      <c r="TR10" s="45">
        <f t="shared" ref="TR10" si="158">TP10+1</f>
        <v>46321</v>
      </c>
      <c r="TS10" s="45"/>
      <c r="TT10" s="45">
        <f t="shared" ref="TT10" si="159">TR10+1</f>
        <v>46322</v>
      </c>
      <c r="TU10" s="50"/>
      <c r="TV10" s="45">
        <f t="shared" ref="TV10" si="160">TT10+1</f>
        <v>46323</v>
      </c>
      <c r="TW10" s="45"/>
      <c r="TX10" s="45">
        <f t="shared" ref="TX10" si="161">TV10+1</f>
        <v>46324</v>
      </c>
      <c r="TY10" s="45"/>
      <c r="TZ10" s="45">
        <f t="shared" ref="TZ10" si="162">TX10+1</f>
        <v>46325</v>
      </c>
      <c r="UA10" s="50"/>
      <c r="UB10" s="45">
        <f t="shared" ref="UB10" si="163">TZ10+1</f>
        <v>46326</v>
      </c>
      <c r="UC10" s="45"/>
      <c r="UD10" s="45">
        <f t="shared" ref="UD10" si="164">UB10+1</f>
        <v>46327</v>
      </c>
      <c r="UE10" s="45"/>
      <c r="UF10" s="45">
        <f t="shared" ref="UF10" si="165">UD10+1</f>
        <v>46328</v>
      </c>
      <c r="UG10" s="50"/>
      <c r="UH10" s="45">
        <f t="shared" ref="UH10" si="166">UF10+1</f>
        <v>46329</v>
      </c>
      <c r="UI10" s="45"/>
      <c r="UJ10" s="45">
        <f t="shared" ref="UJ10" si="167">UH10+1</f>
        <v>46330</v>
      </c>
      <c r="UK10" s="45"/>
      <c r="UL10" s="45">
        <f t="shared" ref="UL10" si="168">UJ10+1</f>
        <v>46331</v>
      </c>
      <c r="UM10" s="50"/>
      <c r="UN10" s="45">
        <f t="shared" ref="UN10" si="169">UL10+1</f>
        <v>46332</v>
      </c>
      <c r="UO10" s="45"/>
      <c r="UP10" s="45">
        <f t="shared" ref="UP10" si="170">UN10+1</f>
        <v>46333</v>
      </c>
      <c r="UQ10" s="45"/>
      <c r="UR10" s="45">
        <f t="shared" ref="UR10" si="171">UP10+1</f>
        <v>46334</v>
      </c>
      <c r="US10" s="50"/>
      <c r="UT10" s="45">
        <f t="shared" ref="UT10" si="172">UR10+1</f>
        <v>46335</v>
      </c>
      <c r="UU10" s="45"/>
      <c r="UV10" s="45">
        <f t="shared" ref="UV10" si="173">UT10+1</f>
        <v>46336</v>
      </c>
      <c r="UW10" s="45"/>
      <c r="UX10" s="45">
        <f t="shared" ref="UX10" si="174">UV10+1</f>
        <v>46337</v>
      </c>
      <c r="UY10" s="50"/>
    </row>
    <row r="11" spans="2:587" x14ac:dyDescent="0.2">
      <c r="B11" s="44" t="s">
        <v>1</v>
      </c>
      <c r="C11" s="46" t="s">
        <v>2</v>
      </c>
      <c r="D11" s="46" t="s">
        <v>3</v>
      </c>
      <c r="E11" s="46"/>
      <c r="F11" s="46" t="s">
        <v>3</v>
      </c>
      <c r="G11" s="46"/>
      <c r="H11" s="46" t="s">
        <v>3</v>
      </c>
      <c r="I11" s="46"/>
      <c r="J11" s="46" t="s">
        <v>3</v>
      </c>
      <c r="K11" s="46"/>
      <c r="L11" s="46" t="s">
        <v>3</v>
      </c>
      <c r="M11" s="46"/>
      <c r="N11" s="46" t="s">
        <v>3</v>
      </c>
      <c r="O11" s="46"/>
      <c r="P11" s="46" t="s">
        <v>3</v>
      </c>
      <c r="Q11" s="46"/>
      <c r="R11" s="46" t="s">
        <v>3</v>
      </c>
      <c r="S11" s="46"/>
      <c r="T11" s="46" t="s">
        <v>3</v>
      </c>
      <c r="U11" s="46"/>
      <c r="V11" s="46" t="s">
        <v>3</v>
      </c>
      <c r="W11" s="46"/>
      <c r="X11" s="46" t="s">
        <v>3</v>
      </c>
      <c r="Y11" s="46"/>
      <c r="Z11" s="46" t="s">
        <v>3</v>
      </c>
      <c r="AA11" s="46"/>
      <c r="AB11" s="46" t="s">
        <v>3</v>
      </c>
      <c r="AC11" s="46"/>
      <c r="AD11" s="46" t="s">
        <v>3</v>
      </c>
      <c r="AE11" s="46"/>
      <c r="AF11" s="46" t="s">
        <v>3</v>
      </c>
      <c r="AG11" s="46"/>
      <c r="AH11" s="46" t="s">
        <v>3</v>
      </c>
      <c r="AI11" s="46"/>
      <c r="AJ11" s="46" t="s">
        <v>3</v>
      </c>
      <c r="AK11" s="46"/>
      <c r="AL11" s="46" t="s">
        <v>3</v>
      </c>
      <c r="AM11" s="46"/>
      <c r="AN11" s="46" t="s">
        <v>3</v>
      </c>
      <c r="AO11" s="46"/>
      <c r="AP11" s="46" t="s">
        <v>3</v>
      </c>
      <c r="AQ11" s="46"/>
      <c r="AR11" s="46" t="s">
        <v>3</v>
      </c>
      <c r="AS11" s="46"/>
      <c r="AT11" s="46" t="s">
        <v>3</v>
      </c>
      <c r="AU11" s="46"/>
      <c r="AV11" s="46" t="s">
        <v>3</v>
      </c>
      <c r="AW11" s="46"/>
      <c r="AX11" s="46" t="s">
        <v>3</v>
      </c>
      <c r="AY11" s="46"/>
      <c r="AZ11" s="46" t="s">
        <v>3</v>
      </c>
      <c r="BA11" s="46"/>
      <c r="BB11" s="46" t="s">
        <v>3</v>
      </c>
      <c r="BC11" s="46"/>
      <c r="BD11" s="46" t="s">
        <v>3</v>
      </c>
      <c r="BE11" s="46"/>
      <c r="BF11" s="46" t="s">
        <v>3</v>
      </c>
      <c r="BG11" s="46"/>
      <c r="BH11" s="46" t="s">
        <v>3</v>
      </c>
      <c r="BI11" s="46"/>
      <c r="BJ11" s="46" t="s">
        <v>3</v>
      </c>
      <c r="BK11" s="46"/>
      <c r="BL11" s="46" t="s">
        <v>3</v>
      </c>
      <c r="BM11" s="46"/>
      <c r="BN11" s="46" t="s">
        <v>3</v>
      </c>
      <c r="BO11" s="46"/>
      <c r="BP11" s="46" t="s">
        <v>3</v>
      </c>
      <c r="BQ11" s="46"/>
      <c r="BR11" s="46" t="s">
        <v>3</v>
      </c>
      <c r="BS11" s="46"/>
      <c r="BT11" s="46" t="s">
        <v>3</v>
      </c>
      <c r="BU11" s="46"/>
      <c r="BV11" s="46" t="s">
        <v>3</v>
      </c>
      <c r="BW11" s="46"/>
      <c r="BX11" s="46" t="s">
        <v>3</v>
      </c>
      <c r="BY11" s="46"/>
      <c r="BZ11" s="46" t="s">
        <v>3</v>
      </c>
      <c r="CA11" s="46"/>
      <c r="CB11" s="46" t="s">
        <v>3</v>
      </c>
      <c r="CC11" s="46"/>
      <c r="CD11" s="46" t="s">
        <v>3</v>
      </c>
      <c r="CE11" s="46"/>
      <c r="CF11" s="46" t="s">
        <v>3</v>
      </c>
      <c r="CG11" s="46"/>
      <c r="CH11" s="46" t="s">
        <v>3</v>
      </c>
      <c r="CI11" s="46"/>
      <c r="CJ11" s="46" t="s">
        <v>3</v>
      </c>
      <c r="CK11" s="46"/>
      <c r="CL11" s="46" t="s">
        <v>3</v>
      </c>
      <c r="CM11" s="46"/>
      <c r="CN11" s="46" t="s">
        <v>3</v>
      </c>
      <c r="CO11" s="46"/>
      <c r="CP11" s="46" t="s">
        <v>3</v>
      </c>
      <c r="CQ11" s="46"/>
      <c r="CR11" s="46" t="s">
        <v>3</v>
      </c>
      <c r="CS11" s="46"/>
      <c r="CT11" s="46" t="s">
        <v>3</v>
      </c>
      <c r="CU11" s="46"/>
      <c r="CV11" s="46" t="s">
        <v>3</v>
      </c>
      <c r="CW11" s="46"/>
      <c r="CX11" s="46" t="s">
        <v>3</v>
      </c>
      <c r="CY11" s="46"/>
      <c r="CZ11" s="46" t="s">
        <v>3</v>
      </c>
      <c r="DA11" s="46"/>
      <c r="DB11" s="46" t="s">
        <v>3</v>
      </c>
      <c r="DC11" s="46"/>
      <c r="DD11" s="46" t="s">
        <v>3</v>
      </c>
      <c r="DE11" s="46"/>
      <c r="DF11" s="46" t="s">
        <v>3</v>
      </c>
      <c r="DG11" s="46"/>
      <c r="DH11" s="46" t="s">
        <v>3</v>
      </c>
      <c r="DI11" s="46"/>
      <c r="DJ11" s="46" t="s">
        <v>3</v>
      </c>
      <c r="DK11" s="46"/>
      <c r="DL11" s="46" t="s">
        <v>3</v>
      </c>
      <c r="DM11" s="46"/>
      <c r="DN11" s="46" t="s">
        <v>3</v>
      </c>
      <c r="DO11" s="46"/>
      <c r="DP11" s="46" t="s">
        <v>3</v>
      </c>
      <c r="DQ11" s="46"/>
      <c r="DR11" s="46" t="s">
        <v>3</v>
      </c>
      <c r="DS11" s="46"/>
      <c r="DT11" s="46" t="s">
        <v>3</v>
      </c>
      <c r="DU11" s="46"/>
      <c r="DV11" s="46" t="s">
        <v>3</v>
      </c>
      <c r="DW11" s="46"/>
      <c r="DX11" s="46" t="s">
        <v>3</v>
      </c>
      <c r="DY11" s="46"/>
      <c r="DZ11" s="46" t="s">
        <v>3</v>
      </c>
      <c r="EA11" s="46"/>
      <c r="EB11" s="46" t="s">
        <v>3</v>
      </c>
      <c r="EC11" s="46"/>
      <c r="ED11" s="46" t="s">
        <v>3</v>
      </c>
      <c r="EE11" s="46"/>
      <c r="EF11" s="46" t="s">
        <v>3</v>
      </c>
      <c r="EG11" s="46"/>
      <c r="EH11" s="46" t="s">
        <v>3</v>
      </c>
      <c r="EI11" s="46"/>
      <c r="EJ11" s="46" t="s">
        <v>3</v>
      </c>
      <c r="EK11" s="46"/>
      <c r="EL11" s="46" t="s">
        <v>3</v>
      </c>
      <c r="EM11" s="46"/>
      <c r="EN11" s="46" t="s">
        <v>3</v>
      </c>
      <c r="EO11" s="46"/>
      <c r="EP11" s="46" t="s">
        <v>3</v>
      </c>
      <c r="EQ11" s="46"/>
      <c r="ER11" s="46" t="s">
        <v>3</v>
      </c>
      <c r="ES11" s="46"/>
      <c r="ET11" s="46" t="s">
        <v>3</v>
      </c>
      <c r="EU11" s="46"/>
      <c r="EV11" s="46" t="s">
        <v>3</v>
      </c>
      <c r="EW11" s="46"/>
      <c r="EX11" s="46" t="s">
        <v>3</v>
      </c>
      <c r="EY11" s="46"/>
      <c r="EZ11" s="46" t="s">
        <v>3</v>
      </c>
      <c r="FA11" s="46"/>
      <c r="FB11" s="46" t="s">
        <v>3</v>
      </c>
      <c r="FC11" s="46"/>
      <c r="FD11" s="46" t="s">
        <v>3</v>
      </c>
      <c r="FE11" s="46"/>
      <c r="FF11" s="46" t="s">
        <v>3</v>
      </c>
      <c r="FG11" s="46"/>
      <c r="FH11" s="46" t="s">
        <v>3</v>
      </c>
      <c r="FI11" s="46"/>
      <c r="FJ11" s="46" t="s">
        <v>3</v>
      </c>
      <c r="FK11" s="46"/>
      <c r="FL11" s="46" t="s">
        <v>3</v>
      </c>
      <c r="FM11" s="46"/>
      <c r="FN11" s="46" t="s">
        <v>3</v>
      </c>
      <c r="FO11" s="46"/>
      <c r="FP11" s="46" t="s">
        <v>3</v>
      </c>
      <c r="FQ11" s="46"/>
      <c r="FR11" s="46" t="s">
        <v>3</v>
      </c>
      <c r="FS11" s="46"/>
      <c r="FT11" s="46" t="s">
        <v>3</v>
      </c>
      <c r="FU11" s="46"/>
      <c r="FV11" s="46" t="s">
        <v>3</v>
      </c>
      <c r="FW11" s="46"/>
      <c r="FX11" s="46" t="s">
        <v>3</v>
      </c>
      <c r="FY11" s="46"/>
      <c r="FZ11" s="46" t="s">
        <v>3</v>
      </c>
      <c r="GA11" s="46"/>
      <c r="GB11" s="46" t="s">
        <v>3</v>
      </c>
      <c r="GC11" s="46"/>
      <c r="GD11" s="46" t="s">
        <v>3</v>
      </c>
      <c r="GE11" s="46"/>
      <c r="GF11" s="46" t="s">
        <v>3</v>
      </c>
      <c r="GG11" s="46"/>
      <c r="GH11" s="46" t="s">
        <v>3</v>
      </c>
      <c r="GI11" s="46"/>
      <c r="GJ11" s="46" t="s">
        <v>3</v>
      </c>
      <c r="GK11" s="46"/>
      <c r="GL11" s="46" t="s">
        <v>3</v>
      </c>
      <c r="GM11" s="46"/>
      <c r="GN11" s="46" t="s">
        <v>3</v>
      </c>
      <c r="GO11" s="46"/>
      <c r="GP11" s="46" t="s">
        <v>3</v>
      </c>
      <c r="GQ11" s="46"/>
      <c r="GR11" s="46" t="s">
        <v>3</v>
      </c>
      <c r="GS11" s="46"/>
      <c r="GT11" s="46" t="s">
        <v>3</v>
      </c>
      <c r="GU11" s="46"/>
      <c r="GV11" s="46" t="s">
        <v>3</v>
      </c>
      <c r="GW11" s="46"/>
      <c r="GX11" s="46" t="s">
        <v>3</v>
      </c>
      <c r="GY11" s="46"/>
      <c r="GZ11" s="46" t="s">
        <v>3</v>
      </c>
      <c r="HA11" s="46"/>
      <c r="HB11" s="46" t="s">
        <v>3</v>
      </c>
      <c r="HC11" s="46"/>
      <c r="HD11" s="46" t="s">
        <v>3</v>
      </c>
      <c r="HE11" s="46"/>
      <c r="HF11" s="46" t="s">
        <v>3</v>
      </c>
      <c r="HG11" s="46"/>
      <c r="HH11" s="46" t="s">
        <v>3</v>
      </c>
      <c r="HI11" s="46"/>
      <c r="HJ11" s="46" t="s">
        <v>3</v>
      </c>
      <c r="HK11" s="46"/>
      <c r="HL11" s="46" t="s">
        <v>3</v>
      </c>
      <c r="HM11" s="46"/>
      <c r="HN11" s="46" t="s">
        <v>3</v>
      </c>
      <c r="HO11" s="46"/>
      <c r="HP11" s="46" t="s">
        <v>3</v>
      </c>
      <c r="HQ11" s="46"/>
      <c r="HR11" s="46" t="s">
        <v>3</v>
      </c>
      <c r="HS11" s="46"/>
      <c r="HT11" s="46" t="s">
        <v>3</v>
      </c>
      <c r="HU11" s="46"/>
      <c r="HV11" s="46" t="s">
        <v>3</v>
      </c>
      <c r="HW11" s="46"/>
      <c r="HX11" s="46" t="s">
        <v>3</v>
      </c>
      <c r="HY11" s="46"/>
      <c r="HZ11" s="46" t="s">
        <v>3</v>
      </c>
      <c r="IA11" s="46"/>
      <c r="IB11" s="46" t="s">
        <v>3</v>
      </c>
      <c r="IC11" s="46"/>
      <c r="ID11" s="46" t="s">
        <v>3</v>
      </c>
      <c r="IE11" s="46"/>
      <c r="IF11" s="46" t="s">
        <v>3</v>
      </c>
      <c r="IG11" s="46"/>
      <c r="IH11" s="46" t="s">
        <v>3</v>
      </c>
      <c r="II11" s="46"/>
      <c r="IJ11" s="46" t="s">
        <v>3</v>
      </c>
      <c r="IK11" s="46"/>
      <c r="IL11" s="46" t="s">
        <v>3</v>
      </c>
      <c r="IM11" s="46"/>
      <c r="IN11" s="46" t="s">
        <v>3</v>
      </c>
      <c r="IO11" s="46"/>
      <c r="IP11" s="46" t="s">
        <v>3</v>
      </c>
      <c r="IQ11" s="46"/>
      <c r="IR11" s="46" t="s">
        <v>3</v>
      </c>
      <c r="IS11" s="46"/>
      <c r="IT11" s="46" t="s">
        <v>3</v>
      </c>
      <c r="IU11" s="46"/>
      <c r="IV11" s="46" t="s">
        <v>3</v>
      </c>
      <c r="IW11" s="46"/>
      <c r="IX11" s="46" t="s">
        <v>3</v>
      </c>
      <c r="IY11" s="46"/>
      <c r="IZ11" s="46" t="s">
        <v>3</v>
      </c>
      <c r="JA11" s="46"/>
      <c r="JB11" s="46" t="s">
        <v>3</v>
      </c>
      <c r="JC11" s="46"/>
      <c r="JD11" s="46" t="s">
        <v>3</v>
      </c>
      <c r="JE11" s="46"/>
      <c r="JF11" s="46" t="s">
        <v>3</v>
      </c>
      <c r="JG11" s="46"/>
      <c r="JH11" s="46" t="s">
        <v>3</v>
      </c>
      <c r="JI11" s="46"/>
      <c r="JJ11" s="46" t="s">
        <v>3</v>
      </c>
      <c r="JK11" s="46"/>
      <c r="JL11" s="46" t="s">
        <v>3</v>
      </c>
      <c r="JM11" s="46"/>
      <c r="JN11" s="46" t="s">
        <v>3</v>
      </c>
      <c r="JO11" s="46"/>
      <c r="JP11" s="46" t="s">
        <v>3</v>
      </c>
      <c r="JQ11" s="46"/>
      <c r="JR11" s="46" t="s">
        <v>3</v>
      </c>
      <c r="JS11" s="46"/>
      <c r="JT11" s="46" t="s">
        <v>3</v>
      </c>
      <c r="JU11" s="46"/>
      <c r="JV11" s="46" t="s">
        <v>3</v>
      </c>
      <c r="JW11" s="46"/>
      <c r="JX11" s="46" t="s">
        <v>3</v>
      </c>
      <c r="JY11" s="46"/>
      <c r="JZ11" s="46" t="s">
        <v>3</v>
      </c>
      <c r="KA11" s="46"/>
      <c r="KB11" s="46" t="s">
        <v>3</v>
      </c>
      <c r="KC11" s="46"/>
      <c r="KD11" s="46" t="s">
        <v>3</v>
      </c>
      <c r="KE11" s="46"/>
      <c r="KF11" s="46" t="s">
        <v>3</v>
      </c>
      <c r="KG11" s="46"/>
      <c r="KH11" s="46" t="s">
        <v>3</v>
      </c>
      <c r="KI11" s="46"/>
      <c r="KJ11" s="46" t="s">
        <v>3</v>
      </c>
      <c r="KK11" s="46"/>
      <c r="KL11" s="46" t="s">
        <v>3</v>
      </c>
      <c r="KM11" s="46"/>
      <c r="KN11" s="46" t="s">
        <v>3</v>
      </c>
      <c r="KO11" s="46"/>
      <c r="KP11" s="46" t="s">
        <v>3</v>
      </c>
      <c r="KQ11" s="46"/>
      <c r="KR11" s="46" t="s">
        <v>3</v>
      </c>
      <c r="KS11" s="46"/>
      <c r="KT11" s="46" t="s">
        <v>3</v>
      </c>
      <c r="KU11" s="46"/>
      <c r="KV11" s="46" t="s">
        <v>3</v>
      </c>
      <c r="KW11" s="46"/>
      <c r="KX11" s="46" t="s">
        <v>3</v>
      </c>
      <c r="KY11" s="46"/>
      <c r="KZ11" s="46" t="s">
        <v>3</v>
      </c>
      <c r="LA11" s="46"/>
      <c r="LB11" s="46" t="s">
        <v>3</v>
      </c>
      <c r="LC11" s="46"/>
      <c r="LD11" s="46" t="s">
        <v>3</v>
      </c>
      <c r="LE11" s="46"/>
      <c r="LF11" s="46" t="s">
        <v>3</v>
      </c>
      <c r="LG11" s="46"/>
      <c r="LH11" s="46" t="s">
        <v>3</v>
      </c>
      <c r="LI11" s="46"/>
      <c r="LJ11" s="46" t="s">
        <v>3</v>
      </c>
      <c r="LK11" s="46"/>
      <c r="LL11" s="46" t="s">
        <v>3</v>
      </c>
      <c r="LM11" s="46"/>
      <c r="LN11" s="46" t="s">
        <v>3</v>
      </c>
      <c r="LO11" s="46"/>
      <c r="LP11" s="46" t="s">
        <v>3</v>
      </c>
      <c r="LQ11" s="46"/>
      <c r="LR11" s="46" t="s">
        <v>3</v>
      </c>
      <c r="LS11" s="46"/>
      <c r="LT11" s="46" t="s">
        <v>3</v>
      </c>
      <c r="LU11" s="46"/>
      <c r="LV11" s="46" t="s">
        <v>3</v>
      </c>
      <c r="LW11" s="46"/>
      <c r="LX11" s="46" t="s">
        <v>3</v>
      </c>
      <c r="LY11" s="46"/>
      <c r="LZ11" s="46" t="s">
        <v>3</v>
      </c>
      <c r="MA11" s="46"/>
      <c r="MB11" s="46" t="s">
        <v>3</v>
      </c>
      <c r="MC11" s="46"/>
      <c r="MD11" s="46" t="s">
        <v>3</v>
      </c>
      <c r="ME11" s="46"/>
      <c r="MF11" s="46" t="s">
        <v>3</v>
      </c>
      <c r="MG11" s="46"/>
      <c r="MH11" s="46" t="s">
        <v>3</v>
      </c>
      <c r="MI11" s="46"/>
      <c r="MJ11" s="46" t="s">
        <v>3</v>
      </c>
      <c r="MK11" s="46"/>
      <c r="ML11" s="46" t="s">
        <v>3</v>
      </c>
      <c r="MM11" s="46"/>
      <c r="MN11" s="46" t="s">
        <v>3</v>
      </c>
      <c r="MO11" s="46"/>
      <c r="MP11" s="46" t="s">
        <v>3</v>
      </c>
      <c r="MQ11" s="46"/>
      <c r="MR11" s="46" t="s">
        <v>3</v>
      </c>
      <c r="MS11" s="46"/>
      <c r="MT11" s="46" t="s">
        <v>3</v>
      </c>
      <c r="MU11" s="46"/>
      <c r="MV11" s="46" t="s">
        <v>3</v>
      </c>
      <c r="MW11" s="46"/>
      <c r="MX11" s="46" t="s">
        <v>3</v>
      </c>
      <c r="MY11" s="46"/>
      <c r="MZ11" s="46" t="s">
        <v>3</v>
      </c>
      <c r="NA11" s="46"/>
      <c r="NB11" s="46" t="s">
        <v>3</v>
      </c>
      <c r="NC11" s="46"/>
      <c r="ND11" s="46" t="s">
        <v>3</v>
      </c>
      <c r="NE11" s="46"/>
      <c r="NF11" s="46" t="s">
        <v>3</v>
      </c>
      <c r="NG11" s="46"/>
      <c r="NH11" s="46" t="s">
        <v>3</v>
      </c>
      <c r="NI11" s="46"/>
      <c r="NJ11" s="46" t="s">
        <v>3</v>
      </c>
      <c r="NK11" s="46"/>
      <c r="NL11" s="46" t="s">
        <v>3</v>
      </c>
      <c r="NM11" s="46"/>
      <c r="NN11" s="46" t="s">
        <v>3</v>
      </c>
      <c r="NO11" s="46"/>
      <c r="NP11" s="46" t="s">
        <v>3</v>
      </c>
      <c r="NQ11" s="46"/>
      <c r="NR11" s="46" t="s">
        <v>3</v>
      </c>
      <c r="NS11" s="46"/>
      <c r="NT11" s="46" t="s">
        <v>3</v>
      </c>
      <c r="NU11" s="46"/>
      <c r="NV11" s="46" t="s">
        <v>3</v>
      </c>
      <c r="NW11" s="46"/>
      <c r="NX11" s="46" t="s">
        <v>3</v>
      </c>
      <c r="NY11" s="46"/>
      <c r="NZ11" s="46" t="s">
        <v>3</v>
      </c>
      <c r="OA11" s="46"/>
      <c r="OB11" s="46" t="s">
        <v>3</v>
      </c>
      <c r="OC11" s="46"/>
      <c r="OD11" s="46" t="s">
        <v>3</v>
      </c>
      <c r="OE11" s="46"/>
      <c r="OF11" s="46" t="s">
        <v>3</v>
      </c>
      <c r="OG11" s="46"/>
      <c r="OH11" s="46" t="s">
        <v>3</v>
      </c>
      <c r="OI11" s="46"/>
      <c r="OJ11" s="46" t="s">
        <v>3</v>
      </c>
      <c r="OK11" s="46"/>
      <c r="OL11" s="46" t="s">
        <v>3</v>
      </c>
      <c r="OM11" s="46"/>
      <c r="ON11" s="46" t="s">
        <v>3</v>
      </c>
      <c r="OO11" s="46"/>
      <c r="OP11" s="46" t="s">
        <v>3</v>
      </c>
      <c r="OQ11" s="46"/>
      <c r="OR11" s="46" t="s">
        <v>3</v>
      </c>
      <c r="OS11" s="46"/>
      <c r="OT11" s="46" t="s">
        <v>3</v>
      </c>
      <c r="OU11" s="46"/>
      <c r="OV11" s="46" t="s">
        <v>3</v>
      </c>
      <c r="OW11" s="46"/>
      <c r="OX11" s="46" t="s">
        <v>3</v>
      </c>
      <c r="OY11" s="46"/>
      <c r="OZ11" s="46" t="s">
        <v>3</v>
      </c>
      <c r="PA11" s="46"/>
      <c r="PB11" s="46" t="s">
        <v>3</v>
      </c>
      <c r="PC11" s="46"/>
      <c r="PD11" s="46" t="s">
        <v>3</v>
      </c>
      <c r="PE11" s="46"/>
      <c r="PF11" s="46" t="s">
        <v>3</v>
      </c>
      <c r="PG11" s="46"/>
      <c r="PH11" s="46" t="s">
        <v>3</v>
      </c>
      <c r="PI11" s="46"/>
      <c r="PJ11" s="46" t="s">
        <v>3</v>
      </c>
      <c r="PK11" s="46"/>
      <c r="PL11" s="46" t="s">
        <v>3</v>
      </c>
      <c r="PM11" s="46"/>
      <c r="PN11" s="46" t="s">
        <v>3</v>
      </c>
      <c r="PO11" s="46"/>
      <c r="PP11" s="46" t="s">
        <v>3</v>
      </c>
      <c r="PQ11" s="46"/>
      <c r="PR11" s="46" t="s">
        <v>3</v>
      </c>
      <c r="PS11" s="46"/>
      <c r="PT11" s="46" t="s">
        <v>3</v>
      </c>
      <c r="PU11" s="46"/>
      <c r="PV11" s="46" t="s">
        <v>3</v>
      </c>
      <c r="PW11" s="46"/>
      <c r="PX11" s="46" t="s">
        <v>3</v>
      </c>
      <c r="PY11" s="46"/>
      <c r="PZ11" s="46" t="s">
        <v>3</v>
      </c>
      <c r="QA11" s="46"/>
      <c r="QB11" s="46" t="s">
        <v>3</v>
      </c>
      <c r="QC11" s="46"/>
      <c r="QD11" s="46" t="s">
        <v>3</v>
      </c>
      <c r="QE11" s="46"/>
      <c r="QF11" s="46" t="s">
        <v>3</v>
      </c>
      <c r="QG11" s="46"/>
      <c r="QH11" s="46" t="s">
        <v>3</v>
      </c>
      <c r="QI11" s="46"/>
      <c r="QJ11" s="46" t="s">
        <v>3</v>
      </c>
      <c r="QK11" s="46"/>
      <c r="QL11" s="46" t="s">
        <v>3</v>
      </c>
      <c r="QM11" s="46"/>
      <c r="QN11" s="46" t="s">
        <v>3</v>
      </c>
      <c r="QO11" s="46"/>
      <c r="QP11" s="46" t="s">
        <v>3</v>
      </c>
      <c r="QQ11" s="46"/>
      <c r="QR11" s="46" t="s">
        <v>3</v>
      </c>
      <c r="QS11" s="46"/>
      <c r="QT11" s="46" t="s">
        <v>3</v>
      </c>
      <c r="QU11" s="46"/>
      <c r="QV11" s="46" t="s">
        <v>3</v>
      </c>
      <c r="QW11" s="46"/>
      <c r="QX11" s="46" t="s">
        <v>3</v>
      </c>
      <c r="QY11" s="46"/>
      <c r="QZ11" s="46" t="s">
        <v>3</v>
      </c>
      <c r="RA11" s="46"/>
      <c r="RB11" s="46" t="s">
        <v>3</v>
      </c>
      <c r="RC11" s="46"/>
      <c r="RD11" s="46" t="s">
        <v>3</v>
      </c>
      <c r="RE11" s="46"/>
      <c r="RF11" s="46" t="s">
        <v>3</v>
      </c>
      <c r="RG11" s="46"/>
      <c r="RH11" s="46" t="s">
        <v>3</v>
      </c>
      <c r="RI11" s="46"/>
      <c r="RJ11" s="46" t="s">
        <v>3</v>
      </c>
      <c r="RK11" s="46"/>
      <c r="RL11" s="46" t="s">
        <v>3</v>
      </c>
      <c r="RM11" s="46"/>
      <c r="RN11" s="46" t="s">
        <v>3</v>
      </c>
      <c r="RO11" s="46"/>
      <c r="RP11" s="46" t="s">
        <v>3</v>
      </c>
      <c r="RQ11" s="46"/>
      <c r="RR11" s="46" t="s">
        <v>3</v>
      </c>
      <c r="RS11" s="46"/>
      <c r="RT11" s="46" t="s">
        <v>3</v>
      </c>
      <c r="RU11" s="46"/>
      <c r="RV11" s="46" t="s">
        <v>3</v>
      </c>
      <c r="RW11" s="46"/>
      <c r="RX11" s="46" t="s">
        <v>3</v>
      </c>
      <c r="RY11" s="46"/>
      <c r="RZ11" s="46" t="s">
        <v>3</v>
      </c>
      <c r="SA11" s="46"/>
      <c r="SB11" s="46" t="s">
        <v>3</v>
      </c>
      <c r="SC11" s="46"/>
      <c r="SD11" s="46" t="s">
        <v>3</v>
      </c>
      <c r="SE11" s="46"/>
      <c r="SF11" s="46" t="s">
        <v>3</v>
      </c>
      <c r="SG11" s="46"/>
      <c r="SH11" s="46" t="s">
        <v>3</v>
      </c>
      <c r="SI11" s="46"/>
      <c r="SJ11" s="46" t="s">
        <v>3</v>
      </c>
      <c r="SK11" s="46"/>
      <c r="SL11" s="46" t="s">
        <v>3</v>
      </c>
      <c r="SM11" s="46"/>
      <c r="SN11" s="46" t="s">
        <v>3</v>
      </c>
      <c r="SO11" s="46"/>
      <c r="SP11" s="46" t="s">
        <v>3</v>
      </c>
      <c r="SQ11" s="46"/>
      <c r="SR11" s="46" t="s">
        <v>3</v>
      </c>
      <c r="SS11" s="46"/>
      <c r="ST11" s="46" t="s">
        <v>3</v>
      </c>
      <c r="SU11" s="46"/>
      <c r="SV11" s="46" t="s">
        <v>3</v>
      </c>
      <c r="SW11" s="46"/>
      <c r="SX11" s="46" t="s">
        <v>3</v>
      </c>
      <c r="SY11" s="46"/>
      <c r="SZ11" s="46" t="s">
        <v>3</v>
      </c>
      <c r="TA11" s="46"/>
      <c r="TB11" s="46" t="s">
        <v>3</v>
      </c>
      <c r="TC11" s="46"/>
      <c r="TD11" s="46" t="s">
        <v>3</v>
      </c>
      <c r="TE11" s="46"/>
      <c r="TF11" s="46" t="s">
        <v>3</v>
      </c>
      <c r="TG11" s="46"/>
      <c r="TH11" s="46" t="s">
        <v>3</v>
      </c>
      <c r="TI11" s="46"/>
      <c r="TJ11" s="46" t="s">
        <v>3</v>
      </c>
      <c r="TK11" s="46"/>
      <c r="TL11" s="46" t="s">
        <v>3</v>
      </c>
      <c r="TM11" s="46"/>
      <c r="TN11" s="46" t="s">
        <v>3</v>
      </c>
      <c r="TO11" s="46"/>
      <c r="TP11" s="46" t="s">
        <v>3</v>
      </c>
      <c r="TQ11" s="46"/>
      <c r="TR11" s="46" t="s">
        <v>3</v>
      </c>
      <c r="TS11" s="46"/>
      <c r="TT11" s="46" t="s">
        <v>3</v>
      </c>
      <c r="TU11" s="51"/>
      <c r="TV11" s="46" t="s">
        <v>3</v>
      </c>
      <c r="TW11" s="46"/>
      <c r="TX11" s="46" t="s">
        <v>3</v>
      </c>
      <c r="TY11" s="46"/>
      <c r="TZ11" s="46" t="s">
        <v>3</v>
      </c>
      <c r="UA11" s="51"/>
      <c r="UB11" s="46" t="s">
        <v>3</v>
      </c>
      <c r="UC11" s="46"/>
      <c r="UD11" s="46" t="s">
        <v>3</v>
      </c>
      <c r="UE11" s="46"/>
      <c r="UF11" s="46" t="s">
        <v>3</v>
      </c>
      <c r="UG11" s="51"/>
      <c r="UH11" s="46" t="s">
        <v>3</v>
      </c>
      <c r="UI11" s="46"/>
      <c r="UJ11" s="46" t="s">
        <v>3</v>
      </c>
      <c r="UK11" s="46"/>
      <c r="UL11" s="46" t="s">
        <v>3</v>
      </c>
      <c r="UM11" s="51"/>
      <c r="UN11" s="46" t="s">
        <v>3</v>
      </c>
      <c r="UO11" s="46"/>
      <c r="UP11" s="46" t="s">
        <v>3</v>
      </c>
      <c r="UQ11" s="46"/>
      <c r="UR11" s="46" t="s">
        <v>3</v>
      </c>
      <c r="US11" s="51"/>
      <c r="UT11" s="46" t="s">
        <v>3</v>
      </c>
      <c r="UU11" s="46"/>
      <c r="UV11" s="46" t="s">
        <v>3</v>
      </c>
      <c r="UW11" s="46"/>
      <c r="UX11" s="46" t="s">
        <v>3</v>
      </c>
      <c r="UY11" s="51"/>
    </row>
    <row r="12" spans="2:587" x14ac:dyDescent="0.2">
      <c r="B12" s="44"/>
      <c r="C12" s="46"/>
      <c r="D12" s="22" t="s">
        <v>4</v>
      </c>
      <c r="E12" s="22" t="s">
        <v>5</v>
      </c>
      <c r="F12" s="22" t="s">
        <v>4</v>
      </c>
      <c r="G12" s="22" t="s">
        <v>5</v>
      </c>
      <c r="H12" s="22" t="s">
        <v>4</v>
      </c>
      <c r="I12" s="22" t="s">
        <v>5</v>
      </c>
      <c r="J12" s="22" t="s">
        <v>4</v>
      </c>
      <c r="K12" s="22" t="s">
        <v>5</v>
      </c>
      <c r="L12" s="22" t="s">
        <v>4</v>
      </c>
      <c r="M12" s="22" t="s">
        <v>5</v>
      </c>
      <c r="N12" s="22" t="s">
        <v>4</v>
      </c>
      <c r="O12" s="22" t="s">
        <v>5</v>
      </c>
      <c r="P12" s="22" t="s">
        <v>4</v>
      </c>
      <c r="Q12" s="22" t="s">
        <v>5</v>
      </c>
      <c r="R12" s="22" t="s">
        <v>4</v>
      </c>
      <c r="S12" s="22" t="s">
        <v>5</v>
      </c>
      <c r="T12" s="22" t="s">
        <v>4</v>
      </c>
      <c r="U12" s="22" t="s">
        <v>5</v>
      </c>
      <c r="V12" s="22" t="s">
        <v>4</v>
      </c>
      <c r="W12" s="22" t="s">
        <v>5</v>
      </c>
      <c r="X12" s="22" t="s">
        <v>4</v>
      </c>
      <c r="Y12" s="22" t="s">
        <v>5</v>
      </c>
      <c r="Z12" s="22" t="s">
        <v>4</v>
      </c>
      <c r="AA12" s="22" t="s">
        <v>5</v>
      </c>
      <c r="AB12" s="22" t="s">
        <v>4</v>
      </c>
      <c r="AC12" s="22" t="s">
        <v>5</v>
      </c>
      <c r="AD12" s="22" t="s">
        <v>4</v>
      </c>
      <c r="AE12" s="22" t="s">
        <v>5</v>
      </c>
      <c r="AF12" s="22" t="s">
        <v>4</v>
      </c>
      <c r="AG12" s="22" t="s">
        <v>5</v>
      </c>
      <c r="AH12" s="22" t="s">
        <v>4</v>
      </c>
      <c r="AI12" s="22" t="s">
        <v>5</v>
      </c>
      <c r="AJ12" s="22" t="s">
        <v>4</v>
      </c>
      <c r="AK12" s="22" t="s">
        <v>5</v>
      </c>
      <c r="AL12" s="22" t="s">
        <v>4</v>
      </c>
      <c r="AM12" s="22" t="s">
        <v>5</v>
      </c>
      <c r="AN12" s="22" t="s">
        <v>4</v>
      </c>
      <c r="AO12" s="22" t="s">
        <v>5</v>
      </c>
      <c r="AP12" s="22" t="s">
        <v>4</v>
      </c>
      <c r="AQ12" s="22" t="s">
        <v>5</v>
      </c>
      <c r="AR12" s="22" t="s">
        <v>4</v>
      </c>
      <c r="AS12" s="22" t="s">
        <v>5</v>
      </c>
      <c r="AT12" s="22" t="s">
        <v>4</v>
      </c>
      <c r="AU12" s="22" t="s">
        <v>5</v>
      </c>
      <c r="AV12" s="22" t="s">
        <v>4</v>
      </c>
      <c r="AW12" s="22" t="s">
        <v>5</v>
      </c>
      <c r="AX12" s="22" t="s">
        <v>4</v>
      </c>
      <c r="AY12" s="22" t="s">
        <v>5</v>
      </c>
      <c r="AZ12" s="22" t="s">
        <v>4</v>
      </c>
      <c r="BA12" s="22" t="s">
        <v>5</v>
      </c>
      <c r="BB12" s="22" t="s">
        <v>4</v>
      </c>
      <c r="BC12" s="22" t="s">
        <v>5</v>
      </c>
      <c r="BD12" s="22" t="s">
        <v>4</v>
      </c>
      <c r="BE12" s="22" t="s">
        <v>5</v>
      </c>
      <c r="BF12" s="22" t="s">
        <v>4</v>
      </c>
      <c r="BG12" s="22" t="s">
        <v>5</v>
      </c>
      <c r="BH12" s="22" t="s">
        <v>4</v>
      </c>
      <c r="BI12" s="22" t="s">
        <v>5</v>
      </c>
      <c r="BJ12" s="22" t="s">
        <v>4</v>
      </c>
      <c r="BK12" s="22" t="s">
        <v>5</v>
      </c>
      <c r="BL12" s="22" t="s">
        <v>4</v>
      </c>
      <c r="BM12" s="22" t="s">
        <v>5</v>
      </c>
      <c r="BN12" s="22" t="s">
        <v>4</v>
      </c>
      <c r="BO12" s="22" t="s">
        <v>5</v>
      </c>
      <c r="BP12" s="22" t="s">
        <v>4</v>
      </c>
      <c r="BQ12" s="22" t="s">
        <v>5</v>
      </c>
      <c r="BR12" s="22" t="s">
        <v>4</v>
      </c>
      <c r="BS12" s="22" t="s">
        <v>5</v>
      </c>
      <c r="BT12" s="22" t="s">
        <v>4</v>
      </c>
      <c r="BU12" s="22" t="s">
        <v>5</v>
      </c>
      <c r="BV12" s="22" t="s">
        <v>4</v>
      </c>
      <c r="BW12" s="22" t="s">
        <v>5</v>
      </c>
      <c r="BX12" s="22" t="s">
        <v>4</v>
      </c>
      <c r="BY12" s="22" t="s">
        <v>5</v>
      </c>
      <c r="BZ12" s="22" t="s">
        <v>4</v>
      </c>
      <c r="CA12" s="22" t="s">
        <v>5</v>
      </c>
      <c r="CB12" s="22" t="s">
        <v>4</v>
      </c>
      <c r="CC12" s="22" t="s">
        <v>5</v>
      </c>
      <c r="CD12" s="22" t="s">
        <v>4</v>
      </c>
      <c r="CE12" s="22" t="s">
        <v>5</v>
      </c>
      <c r="CF12" s="22" t="s">
        <v>4</v>
      </c>
      <c r="CG12" s="22" t="s">
        <v>5</v>
      </c>
      <c r="CH12" s="22" t="s">
        <v>4</v>
      </c>
      <c r="CI12" s="22" t="s">
        <v>5</v>
      </c>
      <c r="CJ12" s="22" t="s">
        <v>4</v>
      </c>
      <c r="CK12" s="22" t="s">
        <v>5</v>
      </c>
      <c r="CL12" s="22" t="s">
        <v>4</v>
      </c>
      <c r="CM12" s="22" t="s">
        <v>5</v>
      </c>
      <c r="CN12" s="22" t="s">
        <v>4</v>
      </c>
      <c r="CO12" s="22" t="s">
        <v>5</v>
      </c>
      <c r="CP12" s="22" t="s">
        <v>4</v>
      </c>
      <c r="CQ12" s="22" t="s">
        <v>5</v>
      </c>
      <c r="CR12" s="22" t="s">
        <v>4</v>
      </c>
      <c r="CS12" s="22" t="s">
        <v>5</v>
      </c>
      <c r="CT12" s="22" t="s">
        <v>4</v>
      </c>
      <c r="CU12" s="22" t="s">
        <v>5</v>
      </c>
      <c r="CV12" s="22" t="s">
        <v>4</v>
      </c>
      <c r="CW12" s="22" t="s">
        <v>5</v>
      </c>
      <c r="CX12" s="22" t="s">
        <v>4</v>
      </c>
      <c r="CY12" s="22" t="s">
        <v>5</v>
      </c>
      <c r="CZ12" s="22" t="s">
        <v>4</v>
      </c>
      <c r="DA12" s="22" t="s">
        <v>5</v>
      </c>
      <c r="DB12" s="22" t="s">
        <v>4</v>
      </c>
      <c r="DC12" s="22" t="s">
        <v>5</v>
      </c>
      <c r="DD12" s="22" t="s">
        <v>4</v>
      </c>
      <c r="DE12" s="22" t="s">
        <v>5</v>
      </c>
      <c r="DF12" s="22" t="s">
        <v>4</v>
      </c>
      <c r="DG12" s="22" t="s">
        <v>5</v>
      </c>
      <c r="DH12" s="22" t="s">
        <v>4</v>
      </c>
      <c r="DI12" s="22" t="s">
        <v>5</v>
      </c>
      <c r="DJ12" s="22" t="s">
        <v>4</v>
      </c>
      <c r="DK12" s="22" t="s">
        <v>5</v>
      </c>
      <c r="DL12" s="22" t="s">
        <v>4</v>
      </c>
      <c r="DM12" s="22" t="s">
        <v>5</v>
      </c>
      <c r="DN12" s="22" t="s">
        <v>4</v>
      </c>
      <c r="DO12" s="22" t="s">
        <v>5</v>
      </c>
      <c r="DP12" s="22" t="s">
        <v>4</v>
      </c>
      <c r="DQ12" s="22" t="s">
        <v>5</v>
      </c>
      <c r="DR12" s="22" t="s">
        <v>4</v>
      </c>
      <c r="DS12" s="22" t="s">
        <v>5</v>
      </c>
      <c r="DT12" s="22" t="s">
        <v>4</v>
      </c>
      <c r="DU12" s="22" t="s">
        <v>5</v>
      </c>
      <c r="DV12" s="22" t="s">
        <v>4</v>
      </c>
      <c r="DW12" s="22" t="s">
        <v>5</v>
      </c>
      <c r="DX12" s="22" t="s">
        <v>4</v>
      </c>
      <c r="DY12" s="22" t="s">
        <v>5</v>
      </c>
      <c r="DZ12" s="22" t="s">
        <v>4</v>
      </c>
      <c r="EA12" s="22" t="s">
        <v>5</v>
      </c>
      <c r="EB12" s="22" t="s">
        <v>4</v>
      </c>
      <c r="EC12" s="22" t="s">
        <v>5</v>
      </c>
      <c r="ED12" s="22" t="s">
        <v>4</v>
      </c>
      <c r="EE12" s="22" t="s">
        <v>5</v>
      </c>
      <c r="EF12" s="22" t="s">
        <v>4</v>
      </c>
      <c r="EG12" s="22" t="s">
        <v>5</v>
      </c>
      <c r="EH12" s="22" t="s">
        <v>4</v>
      </c>
      <c r="EI12" s="22" t="s">
        <v>5</v>
      </c>
      <c r="EJ12" s="22" t="s">
        <v>4</v>
      </c>
      <c r="EK12" s="22" t="s">
        <v>5</v>
      </c>
      <c r="EL12" s="22" t="s">
        <v>4</v>
      </c>
      <c r="EM12" s="22" t="s">
        <v>5</v>
      </c>
      <c r="EN12" s="22" t="s">
        <v>4</v>
      </c>
      <c r="EO12" s="22" t="s">
        <v>5</v>
      </c>
      <c r="EP12" s="22" t="s">
        <v>4</v>
      </c>
      <c r="EQ12" s="22" t="s">
        <v>5</v>
      </c>
      <c r="ER12" s="22" t="s">
        <v>4</v>
      </c>
      <c r="ES12" s="22" t="s">
        <v>5</v>
      </c>
      <c r="ET12" s="22" t="s">
        <v>4</v>
      </c>
      <c r="EU12" s="22" t="s">
        <v>5</v>
      </c>
      <c r="EV12" s="22" t="s">
        <v>4</v>
      </c>
      <c r="EW12" s="22" t="s">
        <v>5</v>
      </c>
      <c r="EX12" s="22" t="s">
        <v>4</v>
      </c>
      <c r="EY12" s="22" t="s">
        <v>5</v>
      </c>
      <c r="EZ12" s="22" t="s">
        <v>4</v>
      </c>
      <c r="FA12" s="22" t="s">
        <v>5</v>
      </c>
      <c r="FB12" s="22" t="s">
        <v>4</v>
      </c>
      <c r="FC12" s="22" t="s">
        <v>5</v>
      </c>
      <c r="FD12" s="22" t="s">
        <v>4</v>
      </c>
      <c r="FE12" s="22" t="s">
        <v>5</v>
      </c>
      <c r="FF12" s="22" t="s">
        <v>4</v>
      </c>
      <c r="FG12" s="22" t="s">
        <v>5</v>
      </c>
      <c r="FH12" s="22" t="s">
        <v>4</v>
      </c>
      <c r="FI12" s="22" t="s">
        <v>5</v>
      </c>
      <c r="FJ12" s="22" t="s">
        <v>4</v>
      </c>
      <c r="FK12" s="22" t="s">
        <v>5</v>
      </c>
      <c r="FL12" s="22" t="s">
        <v>4</v>
      </c>
      <c r="FM12" s="22" t="s">
        <v>5</v>
      </c>
      <c r="FN12" s="22" t="s">
        <v>4</v>
      </c>
      <c r="FO12" s="22" t="s">
        <v>5</v>
      </c>
      <c r="FP12" s="22" t="s">
        <v>4</v>
      </c>
      <c r="FQ12" s="22" t="s">
        <v>5</v>
      </c>
      <c r="FR12" s="22" t="s">
        <v>4</v>
      </c>
      <c r="FS12" s="22" t="s">
        <v>5</v>
      </c>
      <c r="FT12" s="22" t="s">
        <v>4</v>
      </c>
      <c r="FU12" s="22" t="s">
        <v>5</v>
      </c>
      <c r="FV12" s="22" t="s">
        <v>4</v>
      </c>
      <c r="FW12" s="22" t="s">
        <v>5</v>
      </c>
      <c r="FX12" s="22" t="s">
        <v>4</v>
      </c>
      <c r="FY12" s="22" t="s">
        <v>5</v>
      </c>
      <c r="FZ12" s="22" t="s">
        <v>4</v>
      </c>
      <c r="GA12" s="22" t="s">
        <v>5</v>
      </c>
      <c r="GB12" s="22" t="s">
        <v>4</v>
      </c>
      <c r="GC12" s="22" t="s">
        <v>5</v>
      </c>
      <c r="GD12" s="22" t="s">
        <v>4</v>
      </c>
      <c r="GE12" s="22" t="s">
        <v>5</v>
      </c>
      <c r="GF12" s="22" t="s">
        <v>4</v>
      </c>
      <c r="GG12" s="22" t="s">
        <v>5</v>
      </c>
      <c r="GH12" s="22" t="s">
        <v>4</v>
      </c>
      <c r="GI12" s="22" t="s">
        <v>5</v>
      </c>
      <c r="GJ12" s="22" t="s">
        <v>4</v>
      </c>
      <c r="GK12" s="22" t="s">
        <v>5</v>
      </c>
      <c r="GL12" s="22" t="s">
        <v>4</v>
      </c>
      <c r="GM12" s="22" t="s">
        <v>5</v>
      </c>
      <c r="GN12" s="22" t="s">
        <v>4</v>
      </c>
      <c r="GO12" s="22" t="s">
        <v>5</v>
      </c>
      <c r="GP12" s="22" t="s">
        <v>4</v>
      </c>
      <c r="GQ12" s="22" t="s">
        <v>5</v>
      </c>
      <c r="GR12" s="22" t="s">
        <v>4</v>
      </c>
      <c r="GS12" s="22" t="s">
        <v>5</v>
      </c>
      <c r="GT12" s="22" t="s">
        <v>4</v>
      </c>
      <c r="GU12" s="22" t="s">
        <v>5</v>
      </c>
      <c r="GV12" s="22" t="s">
        <v>4</v>
      </c>
      <c r="GW12" s="22" t="s">
        <v>5</v>
      </c>
      <c r="GX12" s="22" t="s">
        <v>4</v>
      </c>
      <c r="GY12" s="22" t="s">
        <v>5</v>
      </c>
      <c r="GZ12" s="22" t="s">
        <v>4</v>
      </c>
      <c r="HA12" s="22" t="s">
        <v>5</v>
      </c>
      <c r="HB12" s="22" t="s">
        <v>4</v>
      </c>
      <c r="HC12" s="22" t="s">
        <v>5</v>
      </c>
      <c r="HD12" s="22" t="s">
        <v>4</v>
      </c>
      <c r="HE12" s="22" t="s">
        <v>5</v>
      </c>
      <c r="HF12" s="22" t="s">
        <v>4</v>
      </c>
      <c r="HG12" s="22" t="s">
        <v>5</v>
      </c>
      <c r="HH12" s="22" t="s">
        <v>4</v>
      </c>
      <c r="HI12" s="22" t="s">
        <v>5</v>
      </c>
      <c r="HJ12" s="22" t="s">
        <v>4</v>
      </c>
      <c r="HK12" s="22" t="s">
        <v>5</v>
      </c>
      <c r="HL12" s="22" t="s">
        <v>4</v>
      </c>
      <c r="HM12" s="22" t="s">
        <v>5</v>
      </c>
      <c r="HN12" s="22" t="s">
        <v>4</v>
      </c>
      <c r="HO12" s="22" t="s">
        <v>5</v>
      </c>
      <c r="HP12" s="22" t="s">
        <v>4</v>
      </c>
      <c r="HQ12" s="22" t="s">
        <v>5</v>
      </c>
      <c r="HR12" s="22" t="s">
        <v>4</v>
      </c>
      <c r="HS12" s="22" t="s">
        <v>5</v>
      </c>
      <c r="HT12" s="22" t="s">
        <v>4</v>
      </c>
      <c r="HU12" s="22" t="s">
        <v>5</v>
      </c>
      <c r="HV12" s="22" t="s">
        <v>4</v>
      </c>
      <c r="HW12" s="22" t="s">
        <v>5</v>
      </c>
      <c r="HX12" s="22" t="s">
        <v>4</v>
      </c>
      <c r="HY12" s="22" t="s">
        <v>5</v>
      </c>
      <c r="HZ12" s="22" t="s">
        <v>4</v>
      </c>
      <c r="IA12" s="22" t="s">
        <v>5</v>
      </c>
      <c r="IB12" s="22" t="s">
        <v>4</v>
      </c>
      <c r="IC12" s="22" t="s">
        <v>5</v>
      </c>
      <c r="ID12" s="22" t="s">
        <v>4</v>
      </c>
      <c r="IE12" s="22" t="s">
        <v>5</v>
      </c>
      <c r="IF12" s="22" t="s">
        <v>4</v>
      </c>
      <c r="IG12" s="22" t="s">
        <v>5</v>
      </c>
      <c r="IH12" s="22" t="s">
        <v>4</v>
      </c>
      <c r="II12" s="22" t="s">
        <v>5</v>
      </c>
      <c r="IJ12" s="22" t="s">
        <v>4</v>
      </c>
      <c r="IK12" s="22" t="s">
        <v>5</v>
      </c>
      <c r="IL12" s="22" t="s">
        <v>4</v>
      </c>
      <c r="IM12" s="22" t="s">
        <v>5</v>
      </c>
      <c r="IN12" s="22" t="s">
        <v>4</v>
      </c>
      <c r="IO12" s="22" t="s">
        <v>5</v>
      </c>
      <c r="IP12" s="22" t="s">
        <v>4</v>
      </c>
      <c r="IQ12" s="22" t="s">
        <v>5</v>
      </c>
      <c r="IR12" s="22" t="s">
        <v>4</v>
      </c>
      <c r="IS12" s="22" t="s">
        <v>5</v>
      </c>
      <c r="IT12" s="22" t="s">
        <v>4</v>
      </c>
      <c r="IU12" s="22" t="s">
        <v>5</v>
      </c>
      <c r="IV12" s="22" t="s">
        <v>4</v>
      </c>
      <c r="IW12" s="22" t="s">
        <v>5</v>
      </c>
      <c r="IX12" s="22" t="s">
        <v>4</v>
      </c>
      <c r="IY12" s="22" t="s">
        <v>5</v>
      </c>
      <c r="IZ12" s="22" t="s">
        <v>4</v>
      </c>
      <c r="JA12" s="22" t="s">
        <v>5</v>
      </c>
      <c r="JB12" s="22" t="s">
        <v>4</v>
      </c>
      <c r="JC12" s="22" t="s">
        <v>5</v>
      </c>
      <c r="JD12" s="22" t="s">
        <v>4</v>
      </c>
      <c r="JE12" s="22" t="s">
        <v>5</v>
      </c>
      <c r="JF12" s="22" t="s">
        <v>4</v>
      </c>
      <c r="JG12" s="22" t="s">
        <v>5</v>
      </c>
      <c r="JH12" s="22" t="s">
        <v>4</v>
      </c>
      <c r="JI12" s="22" t="s">
        <v>5</v>
      </c>
      <c r="JJ12" s="22" t="s">
        <v>4</v>
      </c>
      <c r="JK12" s="22" t="s">
        <v>5</v>
      </c>
      <c r="JL12" s="22" t="s">
        <v>4</v>
      </c>
      <c r="JM12" s="22" t="s">
        <v>5</v>
      </c>
      <c r="JN12" s="22" t="s">
        <v>4</v>
      </c>
      <c r="JO12" s="22" t="s">
        <v>5</v>
      </c>
      <c r="JP12" s="22" t="s">
        <v>4</v>
      </c>
      <c r="JQ12" s="22" t="s">
        <v>5</v>
      </c>
      <c r="JR12" s="22" t="s">
        <v>4</v>
      </c>
      <c r="JS12" s="22" t="s">
        <v>5</v>
      </c>
      <c r="JT12" s="22" t="s">
        <v>4</v>
      </c>
      <c r="JU12" s="22" t="s">
        <v>5</v>
      </c>
      <c r="JV12" s="22" t="s">
        <v>4</v>
      </c>
      <c r="JW12" s="22" t="s">
        <v>5</v>
      </c>
      <c r="JX12" s="22" t="s">
        <v>4</v>
      </c>
      <c r="JY12" s="22" t="s">
        <v>5</v>
      </c>
      <c r="JZ12" s="22" t="s">
        <v>4</v>
      </c>
      <c r="KA12" s="22" t="s">
        <v>5</v>
      </c>
      <c r="KB12" s="22" t="s">
        <v>4</v>
      </c>
      <c r="KC12" s="22" t="s">
        <v>5</v>
      </c>
      <c r="KD12" s="22" t="s">
        <v>4</v>
      </c>
      <c r="KE12" s="22" t="s">
        <v>5</v>
      </c>
      <c r="KF12" s="22" t="s">
        <v>4</v>
      </c>
      <c r="KG12" s="22" t="s">
        <v>5</v>
      </c>
      <c r="KH12" s="22" t="s">
        <v>4</v>
      </c>
      <c r="KI12" s="22" t="s">
        <v>5</v>
      </c>
      <c r="KJ12" s="22" t="s">
        <v>4</v>
      </c>
      <c r="KK12" s="22" t="s">
        <v>5</v>
      </c>
      <c r="KL12" s="22" t="s">
        <v>4</v>
      </c>
      <c r="KM12" s="22" t="s">
        <v>5</v>
      </c>
      <c r="KN12" s="22" t="s">
        <v>4</v>
      </c>
      <c r="KO12" s="22" t="s">
        <v>5</v>
      </c>
      <c r="KP12" s="22" t="s">
        <v>4</v>
      </c>
      <c r="KQ12" s="22" t="s">
        <v>5</v>
      </c>
      <c r="KR12" s="22" t="s">
        <v>4</v>
      </c>
      <c r="KS12" s="22" t="s">
        <v>5</v>
      </c>
      <c r="KT12" s="22" t="s">
        <v>4</v>
      </c>
      <c r="KU12" s="22" t="s">
        <v>5</v>
      </c>
      <c r="KV12" s="22" t="s">
        <v>4</v>
      </c>
      <c r="KW12" s="22" t="s">
        <v>5</v>
      </c>
      <c r="KX12" s="22" t="s">
        <v>4</v>
      </c>
      <c r="KY12" s="22" t="s">
        <v>5</v>
      </c>
      <c r="KZ12" s="22" t="s">
        <v>4</v>
      </c>
      <c r="LA12" s="22" t="s">
        <v>5</v>
      </c>
      <c r="LB12" s="22" t="s">
        <v>4</v>
      </c>
      <c r="LC12" s="22" t="s">
        <v>5</v>
      </c>
      <c r="LD12" s="22" t="s">
        <v>4</v>
      </c>
      <c r="LE12" s="22" t="s">
        <v>5</v>
      </c>
      <c r="LF12" s="22" t="s">
        <v>4</v>
      </c>
      <c r="LG12" s="22" t="s">
        <v>5</v>
      </c>
      <c r="LH12" s="22" t="s">
        <v>4</v>
      </c>
      <c r="LI12" s="22" t="s">
        <v>5</v>
      </c>
      <c r="LJ12" s="22" t="s">
        <v>4</v>
      </c>
      <c r="LK12" s="22" t="s">
        <v>5</v>
      </c>
      <c r="LL12" s="22" t="s">
        <v>4</v>
      </c>
      <c r="LM12" s="22" t="s">
        <v>5</v>
      </c>
      <c r="LN12" s="22" t="s">
        <v>4</v>
      </c>
      <c r="LO12" s="22" t="s">
        <v>5</v>
      </c>
      <c r="LP12" s="22" t="s">
        <v>4</v>
      </c>
      <c r="LQ12" s="22" t="s">
        <v>5</v>
      </c>
      <c r="LR12" s="22" t="s">
        <v>4</v>
      </c>
      <c r="LS12" s="22" t="s">
        <v>5</v>
      </c>
      <c r="LT12" s="22" t="s">
        <v>4</v>
      </c>
      <c r="LU12" s="22" t="s">
        <v>5</v>
      </c>
      <c r="LV12" s="22" t="s">
        <v>4</v>
      </c>
      <c r="LW12" s="22" t="s">
        <v>5</v>
      </c>
      <c r="LX12" s="22" t="s">
        <v>4</v>
      </c>
      <c r="LY12" s="22" t="s">
        <v>5</v>
      </c>
      <c r="LZ12" s="22" t="s">
        <v>4</v>
      </c>
      <c r="MA12" s="22" t="s">
        <v>5</v>
      </c>
      <c r="MB12" s="22" t="s">
        <v>4</v>
      </c>
      <c r="MC12" s="22" t="s">
        <v>5</v>
      </c>
      <c r="MD12" s="22" t="s">
        <v>4</v>
      </c>
      <c r="ME12" s="22" t="s">
        <v>5</v>
      </c>
      <c r="MF12" s="22" t="s">
        <v>4</v>
      </c>
      <c r="MG12" s="22" t="s">
        <v>5</v>
      </c>
      <c r="MH12" s="22" t="s">
        <v>4</v>
      </c>
      <c r="MI12" s="22" t="s">
        <v>5</v>
      </c>
      <c r="MJ12" s="22" t="s">
        <v>4</v>
      </c>
      <c r="MK12" s="22" t="s">
        <v>5</v>
      </c>
      <c r="ML12" s="22" t="s">
        <v>4</v>
      </c>
      <c r="MM12" s="22" t="s">
        <v>5</v>
      </c>
      <c r="MN12" s="22" t="s">
        <v>4</v>
      </c>
      <c r="MO12" s="22" t="s">
        <v>5</v>
      </c>
      <c r="MP12" s="22" t="s">
        <v>4</v>
      </c>
      <c r="MQ12" s="22" t="s">
        <v>5</v>
      </c>
      <c r="MR12" s="22" t="s">
        <v>4</v>
      </c>
      <c r="MS12" s="22" t="s">
        <v>5</v>
      </c>
      <c r="MT12" s="22" t="s">
        <v>4</v>
      </c>
      <c r="MU12" s="22" t="s">
        <v>5</v>
      </c>
      <c r="MV12" s="22" t="s">
        <v>4</v>
      </c>
      <c r="MW12" s="22" t="s">
        <v>5</v>
      </c>
      <c r="MX12" s="22" t="s">
        <v>4</v>
      </c>
      <c r="MY12" s="22" t="s">
        <v>5</v>
      </c>
      <c r="MZ12" s="22" t="s">
        <v>4</v>
      </c>
      <c r="NA12" s="22" t="s">
        <v>5</v>
      </c>
      <c r="NB12" s="22" t="s">
        <v>4</v>
      </c>
      <c r="NC12" s="22" t="s">
        <v>5</v>
      </c>
      <c r="ND12" s="22" t="s">
        <v>4</v>
      </c>
      <c r="NE12" s="22" t="s">
        <v>5</v>
      </c>
      <c r="NF12" s="22" t="s">
        <v>4</v>
      </c>
      <c r="NG12" s="22" t="s">
        <v>5</v>
      </c>
      <c r="NH12" s="22" t="s">
        <v>4</v>
      </c>
      <c r="NI12" s="22" t="s">
        <v>5</v>
      </c>
      <c r="NJ12" s="22" t="s">
        <v>4</v>
      </c>
      <c r="NK12" s="22" t="s">
        <v>5</v>
      </c>
      <c r="NL12" s="22" t="s">
        <v>4</v>
      </c>
      <c r="NM12" s="22" t="s">
        <v>5</v>
      </c>
      <c r="NN12" s="22" t="s">
        <v>4</v>
      </c>
      <c r="NO12" s="22" t="s">
        <v>5</v>
      </c>
      <c r="NP12" s="22" t="s">
        <v>4</v>
      </c>
      <c r="NQ12" s="22" t="s">
        <v>5</v>
      </c>
      <c r="NR12" s="22" t="s">
        <v>4</v>
      </c>
      <c r="NS12" s="22" t="s">
        <v>5</v>
      </c>
      <c r="NT12" s="22" t="s">
        <v>4</v>
      </c>
      <c r="NU12" s="22" t="s">
        <v>5</v>
      </c>
      <c r="NV12" s="22" t="s">
        <v>4</v>
      </c>
      <c r="NW12" s="22" t="s">
        <v>5</v>
      </c>
      <c r="NX12" s="22" t="s">
        <v>4</v>
      </c>
      <c r="NY12" s="22" t="s">
        <v>5</v>
      </c>
      <c r="NZ12" s="22" t="s">
        <v>4</v>
      </c>
      <c r="OA12" s="22" t="s">
        <v>5</v>
      </c>
      <c r="OB12" s="22" t="s">
        <v>4</v>
      </c>
      <c r="OC12" s="22" t="s">
        <v>5</v>
      </c>
      <c r="OD12" s="22" t="s">
        <v>4</v>
      </c>
      <c r="OE12" s="22" t="s">
        <v>5</v>
      </c>
      <c r="OF12" s="22" t="s">
        <v>4</v>
      </c>
      <c r="OG12" s="22" t="s">
        <v>5</v>
      </c>
      <c r="OH12" s="22" t="s">
        <v>4</v>
      </c>
      <c r="OI12" s="22" t="s">
        <v>5</v>
      </c>
      <c r="OJ12" s="22" t="s">
        <v>4</v>
      </c>
      <c r="OK12" s="22" t="s">
        <v>5</v>
      </c>
      <c r="OL12" s="22" t="s">
        <v>4</v>
      </c>
      <c r="OM12" s="22" t="s">
        <v>5</v>
      </c>
      <c r="ON12" s="22" t="s">
        <v>4</v>
      </c>
      <c r="OO12" s="22" t="s">
        <v>5</v>
      </c>
      <c r="OP12" s="22" t="s">
        <v>4</v>
      </c>
      <c r="OQ12" s="22" t="s">
        <v>5</v>
      </c>
      <c r="OR12" s="22" t="s">
        <v>4</v>
      </c>
      <c r="OS12" s="22" t="s">
        <v>5</v>
      </c>
      <c r="OT12" s="22" t="s">
        <v>4</v>
      </c>
      <c r="OU12" s="22" t="s">
        <v>5</v>
      </c>
      <c r="OV12" s="22" t="s">
        <v>4</v>
      </c>
      <c r="OW12" s="22" t="s">
        <v>5</v>
      </c>
      <c r="OX12" s="22" t="s">
        <v>4</v>
      </c>
      <c r="OY12" s="22" t="s">
        <v>5</v>
      </c>
      <c r="OZ12" s="22" t="s">
        <v>4</v>
      </c>
      <c r="PA12" s="22" t="s">
        <v>5</v>
      </c>
      <c r="PB12" s="22" t="s">
        <v>4</v>
      </c>
      <c r="PC12" s="22" t="s">
        <v>5</v>
      </c>
      <c r="PD12" s="22" t="s">
        <v>4</v>
      </c>
      <c r="PE12" s="22" t="s">
        <v>5</v>
      </c>
      <c r="PF12" s="22" t="s">
        <v>4</v>
      </c>
      <c r="PG12" s="22" t="s">
        <v>5</v>
      </c>
      <c r="PH12" s="22" t="s">
        <v>4</v>
      </c>
      <c r="PI12" s="22" t="s">
        <v>5</v>
      </c>
      <c r="PJ12" s="22" t="s">
        <v>4</v>
      </c>
      <c r="PK12" s="22" t="s">
        <v>5</v>
      </c>
      <c r="PL12" s="22" t="s">
        <v>4</v>
      </c>
      <c r="PM12" s="22" t="s">
        <v>5</v>
      </c>
      <c r="PN12" s="22" t="s">
        <v>4</v>
      </c>
      <c r="PO12" s="22" t="s">
        <v>5</v>
      </c>
      <c r="PP12" s="22" t="s">
        <v>4</v>
      </c>
      <c r="PQ12" s="22" t="s">
        <v>5</v>
      </c>
      <c r="PR12" s="22" t="s">
        <v>4</v>
      </c>
      <c r="PS12" s="22" t="s">
        <v>5</v>
      </c>
      <c r="PT12" s="22" t="s">
        <v>4</v>
      </c>
      <c r="PU12" s="22" t="s">
        <v>5</v>
      </c>
      <c r="PV12" s="22" t="s">
        <v>4</v>
      </c>
      <c r="PW12" s="22" t="s">
        <v>5</v>
      </c>
      <c r="PX12" s="22" t="s">
        <v>4</v>
      </c>
      <c r="PY12" s="22" t="s">
        <v>5</v>
      </c>
      <c r="PZ12" s="22" t="s">
        <v>4</v>
      </c>
      <c r="QA12" s="22" t="s">
        <v>5</v>
      </c>
      <c r="QB12" s="22" t="s">
        <v>4</v>
      </c>
      <c r="QC12" s="22" t="s">
        <v>5</v>
      </c>
      <c r="QD12" s="22" t="s">
        <v>4</v>
      </c>
      <c r="QE12" s="22" t="s">
        <v>5</v>
      </c>
      <c r="QF12" s="22" t="s">
        <v>4</v>
      </c>
      <c r="QG12" s="22" t="s">
        <v>5</v>
      </c>
      <c r="QH12" s="22" t="s">
        <v>4</v>
      </c>
      <c r="QI12" s="22" t="s">
        <v>5</v>
      </c>
      <c r="QJ12" s="22" t="s">
        <v>4</v>
      </c>
      <c r="QK12" s="22" t="s">
        <v>5</v>
      </c>
      <c r="QL12" s="22" t="s">
        <v>4</v>
      </c>
      <c r="QM12" s="22" t="s">
        <v>5</v>
      </c>
      <c r="QN12" s="22" t="s">
        <v>4</v>
      </c>
      <c r="QO12" s="22" t="s">
        <v>5</v>
      </c>
      <c r="QP12" s="22" t="s">
        <v>4</v>
      </c>
      <c r="QQ12" s="22" t="s">
        <v>5</v>
      </c>
      <c r="QR12" s="22" t="s">
        <v>4</v>
      </c>
      <c r="QS12" s="22" t="s">
        <v>5</v>
      </c>
      <c r="QT12" s="22" t="s">
        <v>4</v>
      </c>
      <c r="QU12" s="22" t="s">
        <v>5</v>
      </c>
      <c r="QV12" s="22" t="s">
        <v>4</v>
      </c>
      <c r="QW12" s="22" t="s">
        <v>5</v>
      </c>
      <c r="QX12" s="22" t="s">
        <v>4</v>
      </c>
      <c r="QY12" s="22" t="s">
        <v>5</v>
      </c>
      <c r="QZ12" s="22" t="s">
        <v>4</v>
      </c>
      <c r="RA12" s="22" t="s">
        <v>5</v>
      </c>
      <c r="RB12" s="22" t="s">
        <v>4</v>
      </c>
      <c r="RC12" s="22" t="s">
        <v>5</v>
      </c>
      <c r="RD12" s="22" t="s">
        <v>4</v>
      </c>
      <c r="RE12" s="22" t="s">
        <v>5</v>
      </c>
      <c r="RF12" s="22" t="s">
        <v>4</v>
      </c>
      <c r="RG12" s="22" t="s">
        <v>5</v>
      </c>
      <c r="RH12" s="22" t="s">
        <v>4</v>
      </c>
      <c r="RI12" s="22" t="s">
        <v>5</v>
      </c>
      <c r="RJ12" s="22" t="s">
        <v>4</v>
      </c>
      <c r="RK12" s="22" t="s">
        <v>5</v>
      </c>
      <c r="RL12" s="22" t="s">
        <v>4</v>
      </c>
      <c r="RM12" s="22" t="s">
        <v>5</v>
      </c>
      <c r="RN12" s="22" t="s">
        <v>4</v>
      </c>
      <c r="RO12" s="22" t="s">
        <v>5</v>
      </c>
      <c r="RP12" s="22" t="s">
        <v>4</v>
      </c>
      <c r="RQ12" s="22" t="s">
        <v>5</v>
      </c>
      <c r="RR12" s="22" t="s">
        <v>4</v>
      </c>
      <c r="RS12" s="22" t="s">
        <v>5</v>
      </c>
      <c r="RT12" s="22"/>
      <c r="RU12" s="22" t="s">
        <v>5</v>
      </c>
      <c r="RV12" s="22" t="s">
        <v>4</v>
      </c>
      <c r="RW12" s="22" t="s">
        <v>5</v>
      </c>
      <c r="RX12" s="22" t="s">
        <v>4</v>
      </c>
      <c r="RY12" s="22" t="s">
        <v>5</v>
      </c>
      <c r="RZ12" s="22" t="s">
        <v>4</v>
      </c>
      <c r="SA12" s="22" t="s">
        <v>5</v>
      </c>
      <c r="SB12" s="22" t="s">
        <v>4</v>
      </c>
      <c r="SC12" s="22" t="s">
        <v>5</v>
      </c>
      <c r="SD12" s="22" t="s">
        <v>4</v>
      </c>
      <c r="SE12" s="22" t="s">
        <v>5</v>
      </c>
      <c r="SF12" s="22" t="s">
        <v>4</v>
      </c>
      <c r="SG12" s="22" t="s">
        <v>5</v>
      </c>
      <c r="SH12" s="22" t="s">
        <v>4</v>
      </c>
      <c r="SI12" s="22" t="s">
        <v>5</v>
      </c>
      <c r="SJ12" s="22" t="s">
        <v>4</v>
      </c>
      <c r="SK12" s="22" t="s">
        <v>5</v>
      </c>
      <c r="SL12" s="22" t="s">
        <v>4</v>
      </c>
      <c r="SM12" s="22" t="s">
        <v>5</v>
      </c>
      <c r="SN12" s="22" t="s">
        <v>4</v>
      </c>
      <c r="SO12" s="22" t="s">
        <v>5</v>
      </c>
      <c r="SP12" s="22" t="s">
        <v>4</v>
      </c>
      <c r="SQ12" s="22" t="s">
        <v>5</v>
      </c>
      <c r="SR12" s="22" t="s">
        <v>4</v>
      </c>
      <c r="SS12" s="22" t="s">
        <v>5</v>
      </c>
      <c r="ST12" s="22" t="s">
        <v>4</v>
      </c>
      <c r="SU12" s="22" t="s">
        <v>5</v>
      </c>
      <c r="SV12" s="22" t="s">
        <v>4</v>
      </c>
      <c r="SW12" s="22" t="s">
        <v>5</v>
      </c>
      <c r="SX12" s="22" t="s">
        <v>4</v>
      </c>
      <c r="SY12" s="22" t="s">
        <v>5</v>
      </c>
      <c r="SZ12" s="22" t="s">
        <v>4</v>
      </c>
      <c r="TA12" s="22" t="s">
        <v>5</v>
      </c>
      <c r="TB12" s="22" t="s">
        <v>4</v>
      </c>
      <c r="TC12" s="22" t="s">
        <v>5</v>
      </c>
      <c r="TD12" s="22" t="s">
        <v>4</v>
      </c>
      <c r="TE12" s="22" t="s">
        <v>5</v>
      </c>
      <c r="TF12" s="22" t="s">
        <v>4</v>
      </c>
      <c r="TG12" s="22" t="s">
        <v>5</v>
      </c>
      <c r="TH12" s="22" t="s">
        <v>4</v>
      </c>
      <c r="TI12" s="22" t="s">
        <v>5</v>
      </c>
      <c r="TJ12" s="22" t="s">
        <v>4</v>
      </c>
      <c r="TK12" s="22" t="s">
        <v>5</v>
      </c>
      <c r="TL12" s="22" t="s">
        <v>4</v>
      </c>
      <c r="TM12" s="22" t="s">
        <v>5</v>
      </c>
      <c r="TN12" s="22" t="s">
        <v>4</v>
      </c>
      <c r="TO12" s="22" t="s">
        <v>5</v>
      </c>
      <c r="TP12" s="22" t="s">
        <v>4</v>
      </c>
      <c r="TQ12" s="22" t="s">
        <v>5</v>
      </c>
      <c r="TR12" s="22" t="s">
        <v>4</v>
      </c>
      <c r="TS12" s="22" t="s">
        <v>5</v>
      </c>
      <c r="TT12" s="22" t="s">
        <v>4</v>
      </c>
      <c r="TU12" s="21" t="s">
        <v>5</v>
      </c>
      <c r="TV12" s="37" t="s">
        <v>4</v>
      </c>
      <c r="TW12" s="37" t="s">
        <v>5</v>
      </c>
      <c r="TX12" s="37" t="s">
        <v>4</v>
      </c>
      <c r="TY12" s="37" t="s">
        <v>5</v>
      </c>
      <c r="TZ12" s="37" t="s">
        <v>4</v>
      </c>
      <c r="UA12" s="38" t="s">
        <v>5</v>
      </c>
      <c r="UB12" s="37" t="s">
        <v>4</v>
      </c>
      <c r="UC12" s="37" t="s">
        <v>5</v>
      </c>
      <c r="UD12" s="37" t="s">
        <v>4</v>
      </c>
      <c r="UE12" s="37" t="s">
        <v>5</v>
      </c>
      <c r="UF12" s="37" t="s">
        <v>4</v>
      </c>
      <c r="UG12" s="38" t="s">
        <v>5</v>
      </c>
      <c r="UH12" s="37" t="s">
        <v>4</v>
      </c>
      <c r="UI12" s="37" t="s">
        <v>5</v>
      </c>
      <c r="UJ12" s="37" t="s">
        <v>4</v>
      </c>
      <c r="UK12" s="37" t="s">
        <v>5</v>
      </c>
      <c r="UL12" s="37" t="s">
        <v>4</v>
      </c>
      <c r="UM12" s="38" t="s">
        <v>5</v>
      </c>
      <c r="UN12" s="37" t="s">
        <v>4</v>
      </c>
      <c r="UO12" s="37" t="s">
        <v>5</v>
      </c>
      <c r="UP12" s="37" t="s">
        <v>4</v>
      </c>
      <c r="UQ12" s="37" t="s">
        <v>5</v>
      </c>
      <c r="UR12" s="37" t="s">
        <v>4</v>
      </c>
      <c r="US12" s="38" t="s">
        <v>5</v>
      </c>
      <c r="UT12" s="37" t="s">
        <v>4</v>
      </c>
      <c r="UU12" s="37" t="s">
        <v>5</v>
      </c>
      <c r="UV12" s="37" t="s">
        <v>4</v>
      </c>
      <c r="UW12" s="37" t="s">
        <v>5</v>
      </c>
      <c r="UX12" s="37" t="s">
        <v>4</v>
      </c>
      <c r="UY12" s="38" t="s">
        <v>5</v>
      </c>
    </row>
    <row r="13" spans="2:587" x14ac:dyDescent="0.2">
      <c r="B13" s="44" t="s">
        <v>6</v>
      </c>
      <c r="C13" s="23" t="s">
        <v>7</v>
      </c>
      <c r="D13" s="17">
        <v>3.6589999999999998</v>
      </c>
      <c r="E13" s="17">
        <v>0.11799999999999999</v>
      </c>
      <c r="F13" s="17">
        <v>3.6779999999999999</v>
      </c>
      <c r="G13" s="22">
        <v>0.11799999999999999</v>
      </c>
      <c r="H13" s="17">
        <v>3.3340000000000001</v>
      </c>
      <c r="I13" s="18">
        <f t="shared" ref="I13:K14" si="175">H13/31.10348013</f>
        <v>0.10719057758376956</v>
      </c>
      <c r="J13" s="17">
        <v>3.4209999999999998</v>
      </c>
      <c r="K13" s="18">
        <f t="shared" si="175"/>
        <v>0.10998769223577554</v>
      </c>
      <c r="L13" s="17">
        <v>3.8370000000000002</v>
      </c>
      <c r="M13" s="18">
        <f>L13/31.10348013</f>
        <v>0.12336240137640186</v>
      </c>
      <c r="N13" s="17">
        <v>3.6259999999999999</v>
      </c>
      <c r="O13" s="18">
        <f>N13/31.10348013</f>
        <v>0.11657859457670917</v>
      </c>
      <c r="P13" s="17">
        <v>3.214</v>
      </c>
      <c r="Q13" s="18">
        <f>P13/31.10348013</f>
        <v>0.10333248840858889</v>
      </c>
      <c r="R13" s="17">
        <v>3.2330000000000001</v>
      </c>
      <c r="S13" s="18">
        <f>R13/31.10348013</f>
        <v>0.1039433525279925</v>
      </c>
      <c r="T13" s="17">
        <v>3.004</v>
      </c>
      <c r="U13" s="18">
        <f t="shared" ref="U13:AI13" si="176">T13/31.10348013</f>
        <v>9.6580832352022722E-2</v>
      </c>
      <c r="V13" s="17">
        <v>3.2450000000000001</v>
      </c>
      <c r="W13" s="18">
        <f t="shared" si="176"/>
        <v>0.10432916144551056</v>
      </c>
      <c r="X13" s="17">
        <v>3.552</v>
      </c>
      <c r="Y13" s="18">
        <f t="shared" si="176"/>
        <v>0.11419943958534777</v>
      </c>
      <c r="Z13" s="17">
        <v>3.7320000000000002</v>
      </c>
      <c r="AA13" s="18">
        <f t="shared" si="176"/>
        <v>0.11998657334811878</v>
      </c>
      <c r="AB13" s="17">
        <v>3.3250000000000002</v>
      </c>
      <c r="AC13" s="18">
        <f t="shared" si="176"/>
        <v>0.10690122089563102</v>
      </c>
      <c r="AD13" s="17">
        <v>3.55</v>
      </c>
      <c r="AE13" s="18">
        <f t="shared" si="176"/>
        <v>0.11413513809909476</v>
      </c>
      <c r="AF13" s="17">
        <v>3.2189999999999999</v>
      </c>
      <c r="AG13" s="18">
        <f t="shared" si="176"/>
        <v>0.10349324212422141</v>
      </c>
      <c r="AH13" s="17">
        <v>3.4420000000000002</v>
      </c>
      <c r="AI13" s="18">
        <f t="shared" si="176"/>
        <v>0.11066285784143216</v>
      </c>
      <c r="AJ13" s="17">
        <v>4.1109999999999998</v>
      </c>
      <c r="AK13" s="18">
        <f t="shared" ref="U13:AK14" si="177">AJ13/31.10348013</f>
        <v>0.13217170499306438</v>
      </c>
      <c r="AL13" s="17">
        <v>3.8250000000000002</v>
      </c>
      <c r="AM13" s="18">
        <f t="shared" ref="AM13:BA14" si="178">AL13/31.10348013</f>
        <v>0.1229765924588838</v>
      </c>
      <c r="AN13" s="17">
        <v>3.1440000000000001</v>
      </c>
      <c r="AO13" s="18">
        <f t="shared" si="178"/>
        <v>0.10108193638973351</v>
      </c>
      <c r="AP13" s="17">
        <v>3.5790000000000002</v>
      </c>
      <c r="AQ13" s="18">
        <f t="shared" si="178"/>
        <v>0.11506750964976342</v>
      </c>
      <c r="AR13" s="17">
        <v>2.8919999999999999</v>
      </c>
      <c r="AS13" s="18">
        <f t="shared" si="178"/>
        <v>9.2979949121854089E-2</v>
      </c>
      <c r="AT13" s="18">
        <v>2.7330000000000001</v>
      </c>
      <c r="AU13" s="18">
        <f t="shared" si="178"/>
        <v>8.7867980964739717E-2</v>
      </c>
      <c r="AV13" s="17">
        <v>2.7090000000000001</v>
      </c>
      <c r="AW13" s="18">
        <f t="shared" si="178"/>
        <v>8.7096363129703577E-2</v>
      </c>
      <c r="AX13" s="18">
        <v>3.016</v>
      </c>
      <c r="AY13" s="18">
        <f t="shared" si="178"/>
        <v>9.6966641269540785E-2</v>
      </c>
      <c r="AZ13" s="17">
        <v>3.1629999999999998</v>
      </c>
      <c r="BA13" s="18">
        <f t="shared" si="178"/>
        <v>0.10169280050913711</v>
      </c>
      <c r="BB13" s="17">
        <v>2.8260000000000001</v>
      </c>
      <c r="BC13" s="18">
        <f t="shared" ref="BC13:BI14" si="179">BB13/31.10348013</f>
        <v>9.0858000075504736E-2</v>
      </c>
      <c r="BD13" s="18">
        <v>3.8319999999999999</v>
      </c>
      <c r="BE13" s="18">
        <f t="shared" si="179"/>
        <v>0.12320164766076933</v>
      </c>
      <c r="BF13" s="17">
        <v>3.31</v>
      </c>
      <c r="BG13" s="18">
        <f t="shared" si="179"/>
        <v>0.10641895974873343</v>
      </c>
      <c r="BH13" s="17">
        <v>3.1629999999999998</v>
      </c>
      <c r="BI13" s="18">
        <f t="shared" si="179"/>
        <v>0.10169280050913711</v>
      </c>
      <c r="BJ13" s="17">
        <v>3.2879999999999998</v>
      </c>
      <c r="BK13" s="18">
        <f>BJ13/31.10348013</f>
        <v>0.1057116433999503</v>
      </c>
      <c r="BL13" s="17">
        <v>3.335</v>
      </c>
      <c r="BM13" s="18">
        <f t="shared" ref="BM13:BS14" si="180">BL13/31.10348013</f>
        <v>0.10722272832689607</v>
      </c>
      <c r="BN13" s="17">
        <v>3.069</v>
      </c>
      <c r="BO13" s="18">
        <f t="shared" si="180"/>
        <v>9.8670630655245575E-2</v>
      </c>
      <c r="BP13" s="17">
        <v>3.5129999999999999</v>
      </c>
      <c r="BQ13" s="18">
        <f t="shared" si="180"/>
        <v>0.11294556060341406</v>
      </c>
      <c r="BR13" s="17">
        <v>2.9790000000000001</v>
      </c>
      <c r="BS13" s="18">
        <f t="shared" si="180"/>
        <v>9.5777063773860083E-2</v>
      </c>
      <c r="BT13" s="17">
        <v>3.0670000000000002</v>
      </c>
      <c r="BU13" s="18">
        <f t="shared" ref="BU13:CI14" si="181">BT13/31.10348013</f>
        <v>9.8606329168992576E-2</v>
      </c>
      <c r="BV13" s="17">
        <v>3.1349999999999998</v>
      </c>
      <c r="BW13" s="18">
        <f t="shared" si="181"/>
        <v>0.10079257970159494</v>
      </c>
      <c r="BX13" s="17">
        <v>3.0590000000000002</v>
      </c>
      <c r="BY13" s="18">
        <f t="shared" si="181"/>
        <v>9.8349123223980539E-2</v>
      </c>
      <c r="BZ13" s="17">
        <v>3.177</v>
      </c>
      <c r="CA13" s="18">
        <f t="shared" si="181"/>
        <v>0.10214291091290818</v>
      </c>
      <c r="CB13" s="17">
        <v>3.153</v>
      </c>
      <c r="CC13" s="18">
        <f t="shared" si="181"/>
        <v>0.10137129307787206</v>
      </c>
      <c r="CD13" s="17">
        <v>3.0779999999999998</v>
      </c>
      <c r="CE13" s="18">
        <f t="shared" si="181"/>
        <v>9.8959987343384126E-2</v>
      </c>
      <c r="CF13" s="17">
        <v>3.0819999999999999</v>
      </c>
      <c r="CG13" s="18">
        <f>CF13/31.10348013</f>
        <v>9.9088590315890152E-2</v>
      </c>
      <c r="CH13" s="17">
        <v>2.9609999999999999</v>
      </c>
      <c r="CI13" s="18">
        <f t="shared" si="181"/>
        <v>9.5198350397582981E-2</v>
      </c>
      <c r="CJ13" s="17">
        <v>3.0249999999999999</v>
      </c>
      <c r="CK13" s="18">
        <f t="shared" ref="CK13:CQ14" si="182">CJ13/31.10348013</f>
        <v>9.7255997957679335E-2</v>
      </c>
      <c r="CL13" s="17">
        <v>3.738</v>
      </c>
      <c r="CM13" s="18">
        <f t="shared" si="182"/>
        <v>0.12017947780687781</v>
      </c>
      <c r="CN13" s="17">
        <v>3.0139999999999998</v>
      </c>
      <c r="CO13" s="18">
        <f t="shared" si="182"/>
        <v>9.6902339783287772E-2</v>
      </c>
      <c r="CP13" s="17">
        <v>3.306</v>
      </c>
      <c r="CQ13" s="18">
        <f t="shared" si="182"/>
        <v>0.1062903567762274</v>
      </c>
      <c r="CR13" s="17">
        <v>3.2530000000000001</v>
      </c>
      <c r="CS13" s="18">
        <f t="shared" ref="CS13:CU14" si="183">CR13/31.10348013</f>
        <v>0.10458636739052261</v>
      </c>
      <c r="CT13" s="17">
        <v>3.0350000000000001</v>
      </c>
      <c r="CU13" s="18">
        <f t="shared" si="183"/>
        <v>9.7577505388944399E-2</v>
      </c>
      <c r="CV13" s="17">
        <v>3.32</v>
      </c>
      <c r="CW13" s="17"/>
      <c r="CX13" s="17">
        <v>2.7250000000000001</v>
      </c>
      <c r="CY13" s="17"/>
      <c r="CZ13" s="17">
        <v>2.87</v>
      </c>
      <c r="DA13" s="18">
        <f>CZ13/31.10348013</f>
        <v>9.2272632773070976E-2</v>
      </c>
      <c r="DB13" s="17">
        <v>2.851</v>
      </c>
      <c r="DC13" s="18">
        <f>DB13/31.10348013</f>
        <v>9.1661768653667375E-2</v>
      </c>
      <c r="DD13" s="17">
        <v>2.8079999999999998</v>
      </c>
      <c r="DE13" s="18">
        <f>DD13/31.10348013</f>
        <v>9.0279286699227621E-2</v>
      </c>
      <c r="DF13" s="17">
        <v>2.7010000000000001</v>
      </c>
      <c r="DG13" s="18">
        <f>DF13/31.10348013</f>
        <v>8.683915718469154E-2</v>
      </c>
      <c r="DH13" s="17">
        <v>2.5859999999999999</v>
      </c>
      <c r="DI13" s="18">
        <f>DH13/31.10348013</f>
        <v>8.3141821725143394E-2</v>
      </c>
      <c r="DJ13" s="17">
        <v>2.8149999999999999</v>
      </c>
      <c r="DK13" s="18">
        <f>DJ13/31.10348013</f>
        <v>9.0504341901113172E-2</v>
      </c>
      <c r="DL13" s="17">
        <v>2.5619999999999998</v>
      </c>
      <c r="DM13" s="18">
        <f>DL13/31.10348013</f>
        <v>8.2370203890107255E-2</v>
      </c>
      <c r="DN13" s="17">
        <v>2.948</v>
      </c>
      <c r="DO13" s="18">
        <f>DN13/31.10348013</f>
        <v>9.4780390736938405E-2</v>
      </c>
      <c r="DP13" s="17">
        <v>2.8260000000000001</v>
      </c>
      <c r="DQ13" s="18">
        <f>DP13/31.10348013</f>
        <v>9.0858000075504736E-2</v>
      </c>
      <c r="DR13" s="17">
        <v>2.7010000000000001</v>
      </c>
      <c r="DS13" s="18">
        <f>DR13/31.10348013</f>
        <v>8.683915718469154E-2</v>
      </c>
      <c r="DT13" s="17">
        <v>2.7210000000000001</v>
      </c>
      <c r="DU13" s="18">
        <f>DT13/31.10348013</f>
        <v>8.7482172047221654E-2</v>
      </c>
      <c r="DV13" s="17">
        <v>2.73</v>
      </c>
      <c r="DW13" s="18">
        <f>DV13/31.10348013</f>
        <v>8.7771528735360191E-2</v>
      </c>
      <c r="DX13" s="17">
        <v>2.782</v>
      </c>
      <c r="DY13" s="18">
        <f>DX13/31.10348013</f>
        <v>8.9443367377938482E-2</v>
      </c>
      <c r="DZ13" s="17">
        <v>2.5150000000000001</v>
      </c>
      <c r="EA13" s="18">
        <f>DZ13/31.10348013</f>
        <v>8.0859118963161503E-2</v>
      </c>
      <c r="EB13" s="17">
        <v>2.7629999999999999</v>
      </c>
      <c r="EC13" s="18">
        <f>EB13/31.10348013</f>
        <v>8.8832503258534881E-2</v>
      </c>
      <c r="ED13" s="17">
        <v>2.7530000000000001</v>
      </c>
      <c r="EE13" s="18">
        <f>ED13/31.10348013</f>
        <v>8.8510995827269831E-2</v>
      </c>
      <c r="EF13" s="17">
        <v>3.2450000000000001</v>
      </c>
      <c r="EG13" s="18">
        <f>EF13/31.10348013</f>
        <v>0.10432916144551056</v>
      </c>
      <c r="EH13" s="17">
        <v>3.0379999999999998</v>
      </c>
      <c r="EI13" s="18">
        <f>EH13/31.10348013</f>
        <v>9.7673957618323898E-2</v>
      </c>
      <c r="EJ13" s="17">
        <v>3.1150000000000002</v>
      </c>
      <c r="EK13" s="18">
        <f>EJ13/31.10348013</f>
        <v>0.10014956483906484</v>
      </c>
      <c r="EL13" s="17">
        <v>3.226</v>
      </c>
      <c r="EM13" s="18">
        <f>EL13/31.10348013</f>
        <v>0.10371829732610696</v>
      </c>
      <c r="EN13" s="17">
        <v>3.0089999999999999</v>
      </c>
      <c r="EO13" s="18">
        <f>EN13/31.10348013</f>
        <v>9.6741586067655247E-2</v>
      </c>
      <c r="EP13" s="17">
        <v>3.0590000000000002</v>
      </c>
      <c r="EQ13" s="18">
        <f>EP13/31.10348013</f>
        <v>9.8349123223980539E-2</v>
      </c>
      <c r="ER13" s="17">
        <v>2.8759999999999999</v>
      </c>
      <c r="ES13" s="18">
        <f>ER13/31.10348013</f>
        <v>9.246553723183E-2</v>
      </c>
      <c r="ET13" s="17">
        <v>3.4340000000000002</v>
      </c>
      <c r="EU13" s="18">
        <f>ET13/31.10348013</f>
        <v>0.11040565189642013</v>
      </c>
      <c r="EV13" s="17">
        <v>3.85</v>
      </c>
      <c r="EW13" s="18">
        <f>EV13/31.10348013</f>
        <v>0.12378036103704643</v>
      </c>
      <c r="EX13" s="17">
        <v>3.1019999999999999</v>
      </c>
      <c r="EY13" s="18">
        <f>EX13/31.10348013</f>
        <v>9.9731605178420266E-2</v>
      </c>
      <c r="EZ13" s="17">
        <v>3.2719999999999998</v>
      </c>
      <c r="FA13" s="18">
        <f>EZ13/31.10348013</f>
        <v>0.1051972315099262</v>
      </c>
      <c r="FB13" s="17">
        <v>3.831</v>
      </c>
      <c r="FC13" s="18">
        <f>FB13/31.10348013</f>
        <v>0.12316949691764283</v>
      </c>
      <c r="FD13" s="17">
        <v>3.073</v>
      </c>
      <c r="FE13" s="18">
        <f>FD13/31.10348013</f>
        <v>9.8799233627751601E-2</v>
      </c>
      <c r="FF13" s="17">
        <v>3.165</v>
      </c>
      <c r="FG13" s="18">
        <f>FF13/31.10348013</f>
        <v>0.10175710199539012</v>
      </c>
      <c r="FH13" s="17">
        <v>3.2050000000000001</v>
      </c>
      <c r="FI13" s="18">
        <f>FH13/31.10348013</f>
        <v>0.10304313172045035</v>
      </c>
      <c r="FJ13" s="17">
        <v>4.0999999999999996</v>
      </c>
      <c r="FK13" s="18">
        <f>FJ13/31.10348013</f>
        <v>0.13181804681867282</v>
      </c>
      <c r="FL13" s="17">
        <v>4.5270000000000001</v>
      </c>
      <c r="FM13" s="18">
        <f>FL13/31.10348013</f>
        <v>0.14554641413369071</v>
      </c>
      <c r="FN13" s="17">
        <v>3.4319999999999999</v>
      </c>
      <c r="FO13" s="18">
        <f>FN13/31.10348013</f>
        <v>0.1103413504101671</v>
      </c>
      <c r="FP13" s="17">
        <v>3.4540000000000002</v>
      </c>
      <c r="FQ13" s="18">
        <f>FP13/31.10348013</f>
        <v>0.11104866675895023</v>
      </c>
      <c r="FR13" s="17">
        <v>3.4689999999999999</v>
      </c>
      <c r="FS13" s="18">
        <f>FR13/31.10348013</f>
        <v>0.1115309279058478</v>
      </c>
      <c r="FT13" s="17">
        <v>3.2149999999999999</v>
      </c>
      <c r="FU13" s="18">
        <f>FT13/31.10348013</f>
        <v>0.10336463915171538</v>
      </c>
      <c r="FV13" s="17">
        <v>3.0139999999999998</v>
      </c>
      <c r="FW13" s="18">
        <f>FV13/31.10348013</f>
        <v>9.6902339783287772E-2</v>
      </c>
      <c r="FX13" s="17">
        <v>3.258</v>
      </c>
      <c r="FY13" s="18">
        <f>FX13/31.10348013</f>
        <v>0.10474712110615514</v>
      </c>
      <c r="FZ13" s="17">
        <v>3.2280000000000002</v>
      </c>
      <c r="GA13" s="18">
        <f>FZ13/31.10348013</f>
        <v>0.10378259881235997</v>
      </c>
      <c r="GB13" s="17">
        <v>3.0779999999999998</v>
      </c>
      <c r="GC13" s="18">
        <f>GB13/31.10348013</f>
        <v>9.8959987343384126E-2</v>
      </c>
      <c r="GD13" s="17">
        <v>3.5179999999999998</v>
      </c>
      <c r="GE13" s="18">
        <f>GD13/31.10348013</f>
        <v>0.11310631431904658</v>
      </c>
      <c r="GF13" s="17">
        <v>3.2509999999999999</v>
      </c>
      <c r="GG13" s="18">
        <f>GF13/31.10348013</f>
        <v>0.10452206590426959</v>
      </c>
      <c r="GH13" s="17">
        <v>3.2080000000000002</v>
      </c>
      <c r="GI13" s="18">
        <f>GH13/31.10348013</f>
        <v>0.10313958394982986</v>
      </c>
      <c r="GJ13" s="17">
        <v>3.4119999999999999</v>
      </c>
      <c r="GK13" s="18">
        <f>GJ13/31.10348013</f>
        <v>0.10969833554763699</v>
      </c>
      <c r="GL13" s="17">
        <v>3.202</v>
      </c>
      <c r="GM13" s="18">
        <f>GL13/31.10348013</f>
        <v>0.10294667949107082</v>
      </c>
      <c r="GN13" s="17">
        <v>3.0329999999999999</v>
      </c>
      <c r="GO13" s="18">
        <f>GN13/31.10348013</f>
        <v>9.7513203902691387E-2</v>
      </c>
      <c r="GP13" s="17">
        <v>2.7149999999999999</v>
      </c>
      <c r="GQ13" s="18">
        <f>GP13/31.10348013</f>
        <v>8.7289267588462602E-2</v>
      </c>
      <c r="GR13" s="17">
        <v>3.2330000000000001</v>
      </c>
      <c r="GS13" s="18">
        <f>GR13/31.10348013</f>
        <v>0.1039433525279925</v>
      </c>
      <c r="GT13" s="17">
        <v>2.9849999999999999</v>
      </c>
      <c r="GU13" s="18">
        <f>GT13/31.10348013</f>
        <v>9.5969968232619107E-2</v>
      </c>
      <c r="GV13" s="17">
        <v>2.948</v>
      </c>
      <c r="GW13" s="18">
        <f>GV13/31.10348013</f>
        <v>9.4780390736938405E-2</v>
      </c>
      <c r="GX13" s="17">
        <v>3.9809999999999999</v>
      </c>
      <c r="GY13" s="18">
        <f>GX13/31.10348013</f>
        <v>0.12799210838661865</v>
      </c>
      <c r="GZ13" s="17">
        <v>3.8079999999999998</v>
      </c>
      <c r="HA13" s="18">
        <f>GZ13/31.10348013</f>
        <v>0.12243002982573319</v>
      </c>
      <c r="HB13" s="17">
        <v>3.2719999999999998</v>
      </c>
      <c r="HC13" s="18">
        <f>HB13/31.10348013</f>
        <v>0.1051972315099262</v>
      </c>
      <c r="HD13" s="17">
        <v>4.343</v>
      </c>
      <c r="HE13" s="18">
        <f>HD13/31.10348013</f>
        <v>0.13963067739841367</v>
      </c>
      <c r="HF13" s="17">
        <v>3.9060000000000001</v>
      </c>
      <c r="HG13" s="18">
        <f>HF13/31.10348013</f>
        <v>0.12558080265213076</v>
      </c>
      <c r="HH13" s="17">
        <v>3.202</v>
      </c>
      <c r="HI13" s="18">
        <f>HH13/31.10348013</f>
        <v>0.10294667949107082</v>
      </c>
      <c r="HJ13" s="17">
        <v>3.03</v>
      </c>
      <c r="HK13" s="18">
        <f>HJ13/31.10348013</f>
        <v>9.741675167331186E-2</v>
      </c>
      <c r="HL13" s="17">
        <v>3.327</v>
      </c>
      <c r="HM13" s="18">
        <f t="shared" ref="HM13" si="184">HL13/31.10348013</f>
        <v>0.10696552238188402</v>
      </c>
      <c r="HN13" s="17">
        <v>3.37</v>
      </c>
      <c r="HO13" s="18">
        <f>HN13/31.10348013</f>
        <v>0.10834800433632376</v>
      </c>
      <c r="HP13" s="17">
        <v>3.4750000000000001</v>
      </c>
      <c r="HQ13" s="18">
        <f>HP13/31.10348013</f>
        <v>0.11172383236460684</v>
      </c>
      <c r="HR13" s="17">
        <v>2.746</v>
      </c>
      <c r="HS13" s="18">
        <f>HR13/31.10348013</f>
        <v>8.8285940625384279E-2</v>
      </c>
      <c r="HT13" s="17">
        <v>2.758</v>
      </c>
      <c r="HU13" s="18">
        <f t="shared" ref="HU13:HU16" si="185">HT13/31.10348013</f>
        <v>8.8671749542902356E-2</v>
      </c>
      <c r="HV13" s="17">
        <v>2.718</v>
      </c>
      <c r="HW13" s="18">
        <f t="shared" ref="HW13:HW16" si="186">HV13/31.10348013</f>
        <v>8.7385719817842128E-2</v>
      </c>
      <c r="HX13" s="17">
        <v>3.2749999999999999</v>
      </c>
      <c r="HY13" s="18">
        <f t="shared" ref="HY13:HY16" si="187">HX13/31.10348013</f>
        <v>0.10529368373930573</v>
      </c>
      <c r="HZ13" s="17">
        <v>3.8340000000000001</v>
      </c>
      <c r="IA13" s="18">
        <f t="shared" ref="IA13:IA16" si="188">HZ13/31.10348013</f>
        <v>0.12326594914702234</v>
      </c>
      <c r="IB13" s="17">
        <v>3.3559999999999999</v>
      </c>
      <c r="IC13" s="18">
        <f t="shared" ref="IC13:IC16" si="189">IB13/31.10348013</f>
        <v>0.10789789393255268</v>
      </c>
      <c r="ID13" s="17">
        <v>2.5720000000000001</v>
      </c>
      <c r="IE13" s="18">
        <f t="shared" ref="IE13:IE16" si="190">ID13/31.10348013</f>
        <v>8.2691711321372319E-2</v>
      </c>
      <c r="IF13" s="17">
        <v>3.141</v>
      </c>
      <c r="IG13" s="18">
        <f t="shared" ref="IG13:IG16" si="191">IF13/31.10348013</f>
        <v>0.10098548416035398</v>
      </c>
      <c r="IH13" s="17">
        <v>3.1309999999999998</v>
      </c>
      <c r="II13" s="18">
        <f t="shared" ref="II13:II16" si="192">IH13/31.10348013</f>
        <v>0.10066397672908892</v>
      </c>
      <c r="IJ13" s="17">
        <v>3.0720000000000001</v>
      </c>
      <c r="IK13" s="18">
        <f t="shared" ref="IK13:IK16" si="193">IJ13/31.10348013</f>
        <v>9.8767082884625101E-2</v>
      </c>
      <c r="IL13" s="17">
        <v>3.0259999999999998</v>
      </c>
      <c r="IM13" s="18">
        <f t="shared" ref="IM13:IM16" si="194">IL13/31.10348013</f>
        <v>9.7288148700805835E-2</v>
      </c>
      <c r="IN13" s="17">
        <v>2.9689999999999999</v>
      </c>
      <c r="IO13" s="18">
        <f t="shared" ref="IO13:IO16" si="195">IN13/31.10348013</f>
        <v>9.5455556342595019E-2</v>
      </c>
      <c r="IP13" s="17">
        <v>3.012</v>
      </c>
      <c r="IQ13" s="18">
        <f t="shared" ref="IQ13:IQ16" si="196">IP13/31.10348013</f>
        <v>9.6838038297034773E-2</v>
      </c>
      <c r="IR13" s="17">
        <v>2.9510000000000001</v>
      </c>
      <c r="IS13" s="18">
        <f t="shared" ref="IS13:IS16" si="197">IR13/31.10348013</f>
        <v>9.4876842966317931E-2</v>
      </c>
      <c r="IT13" s="17">
        <v>2.903</v>
      </c>
      <c r="IU13" s="18">
        <f t="shared" ref="IU13:IU16" si="198">IT13/31.10348013</f>
        <v>9.3333607296245666E-2</v>
      </c>
      <c r="IV13" s="17">
        <v>2.8239999999999998</v>
      </c>
      <c r="IW13" s="18">
        <f t="shared" ref="IW13:IW16" si="199">IV13/31.10348013</f>
        <v>9.0793698589251709E-2</v>
      </c>
      <c r="IX13" s="17">
        <v>3.968</v>
      </c>
      <c r="IY13" s="18">
        <f t="shared" ref="IY13:IY16" si="200">IX13/31.10348013</f>
        <v>0.12757414872597408</v>
      </c>
      <c r="IZ13" s="17">
        <v>3.9169999999999998</v>
      </c>
      <c r="JA13" s="18">
        <f t="shared" ref="JA13:JA16" si="201">IZ13/31.10348013</f>
        <v>0.12593446082652229</v>
      </c>
      <c r="JB13" s="17">
        <v>3.371</v>
      </c>
      <c r="JC13" s="18">
        <f t="shared" ref="JC13:JC16" si="202">JB13/31.10348013</f>
        <v>0.10838015507945026</v>
      </c>
      <c r="JD13" s="17">
        <v>3.794</v>
      </c>
      <c r="JE13" s="18">
        <f t="shared" ref="JE13:JE16" si="203">JD13/31.10348013</f>
        <v>0.12197991942196212</v>
      </c>
      <c r="JF13" s="17">
        <v>3.2170000000000001</v>
      </c>
      <c r="JG13" s="18">
        <f t="shared" ref="JG13:JG16" si="204">JF13/31.10348013</f>
        <v>0.10342894063796841</v>
      </c>
      <c r="JH13" s="17">
        <v>3.1829999999999998</v>
      </c>
      <c r="JI13" s="18">
        <f t="shared" ref="JI13:JI16" si="205">JH13/31.10348013</f>
        <v>0.10233581537166721</v>
      </c>
      <c r="JJ13" s="17">
        <v>3.125</v>
      </c>
      <c r="JK13" s="18">
        <f t="shared" ref="JK13:JK16" si="206">JJ13/31.10348013</f>
        <v>0.10047107227032989</v>
      </c>
      <c r="JL13" s="17">
        <v>3.0870000000000002</v>
      </c>
      <c r="JM13" s="18">
        <f t="shared" ref="JM13:JM16" si="207">JL13/31.10348013</f>
        <v>9.924934403152269E-2</v>
      </c>
      <c r="JN13" s="17">
        <v>3.032</v>
      </c>
      <c r="JO13" s="18">
        <f t="shared" ref="JO13:JO16" si="208">JN13/31.10348013</f>
        <v>9.7481053159564873E-2</v>
      </c>
      <c r="JP13" s="17">
        <v>2.9009999999999998</v>
      </c>
      <c r="JQ13" s="18">
        <f t="shared" ref="JQ13:JQ16" si="209">JP13/31.10348013</f>
        <v>9.3269305809992639E-2</v>
      </c>
      <c r="JR13" s="18">
        <v>3.4</v>
      </c>
      <c r="JS13" s="18">
        <f t="shared" ref="JS13:JS16" si="210">JR13/31.10348013</f>
        <v>0.10931252663011892</v>
      </c>
      <c r="JT13" s="17">
        <v>3.8660000000000001</v>
      </c>
      <c r="JU13" s="18">
        <f t="shared" ref="JU13:JU16" si="211">JT13/31.10348013</f>
        <v>0.12429477292707053</v>
      </c>
      <c r="JV13" s="17">
        <v>3.7360000000000002</v>
      </c>
      <c r="JW13" s="18">
        <f t="shared" ref="JW13:JW16" si="212">JV13/31.10348013</f>
        <v>0.12011517632062481</v>
      </c>
      <c r="JX13" s="17">
        <v>3.8159999999999998</v>
      </c>
      <c r="JY13" s="18">
        <f t="shared" ref="JY13:JY16" si="213">JX13/31.10348013</f>
        <v>0.12268723577074524</v>
      </c>
      <c r="JZ13" s="18">
        <v>3.33</v>
      </c>
      <c r="KA13" s="18">
        <f t="shared" ref="KA13:KA16" si="214">JZ13/31.10348013</f>
        <v>0.10706197461126354</v>
      </c>
      <c r="KB13" s="19">
        <v>3.2280000000000002</v>
      </c>
      <c r="KC13" s="18">
        <f t="shared" ref="KC13:KC16" si="215">KB13/31.10348013</f>
        <v>0.10378259881235997</v>
      </c>
      <c r="KD13" s="18">
        <v>3.141</v>
      </c>
      <c r="KE13" s="18">
        <f t="shared" ref="KE13:KE16" si="216">KD13/31.10348013</f>
        <v>0.10098548416035398</v>
      </c>
      <c r="KF13" s="17">
        <v>3.2839999999999998</v>
      </c>
      <c r="KG13" s="18">
        <f t="shared" ref="KG13:KG16" si="217">KF13/31.10348013</f>
        <v>0.10558304042744428</v>
      </c>
      <c r="KH13" s="17">
        <v>3.2029999999999998</v>
      </c>
      <c r="KI13" s="18">
        <f t="shared" ref="KI13:KI16" si="218">KH13/31.10348013</f>
        <v>0.10297883023419732</v>
      </c>
      <c r="KJ13" s="17">
        <v>3.0139999999999998</v>
      </c>
      <c r="KK13" s="18">
        <f t="shared" ref="KK13:KK16" si="219">KJ13/31.10348013</f>
        <v>9.6902339783287772E-2</v>
      </c>
      <c r="KL13" s="17">
        <v>3.0049999999999999</v>
      </c>
      <c r="KM13" s="18">
        <f t="shared" ref="KM13:KM16" si="220">KL13/31.10348013</f>
        <v>9.6612983095149221E-2</v>
      </c>
      <c r="KN13" s="17">
        <v>3.1269999999999998</v>
      </c>
      <c r="KO13" s="18">
        <f t="shared" ref="KO13:KO16" si="221">KN13/31.10348013</f>
        <v>0.1005353737565829</v>
      </c>
      <c r="KP13" s="17">
        <v>3.1779999999999999</v>
      </c>
      <c r="KQ13" s="18">
        <f t="shared" ref="KQ13:KQ16" si="222">KP13/31.10348013</f>
        <v>0.10217506165603468</v>
      </c>
      <c r="KR13" s="17">
        <v>3.3119999999999998</v>
      </c>
      <c r="KS13" s="18">
        <f t="shared" ref="KS13:KS16" si="223">KR13/31.10348013</f>
        <v>0.10648326123498643</v>
      </c>
      <c r="KT13" s="17">
        <v>3.7349999999999999</v>
      </c>
      <c r="KU13" s="18">
        <f t="shared" ref="KU13:KU16" si="224">KT13/31.10348013</f>
        <v>0.12008302557749828</v>
      </c>
      <c r="KV13" s="17">
        <v>3.782</v>
      </c>
      <c r="KW13" s="18">
        <f t="shared" ref="KW13:KW16" si="225">KV13/31.10348013</f>
        <v>0.12159411050444405</v>
      </c>
      <c r="KX13" s="17">
        <v>3.1459999999999999</v>
      </c>
      <c r="KY13" s="18">
        <f t="shared" ref="KY13:KY16" si="226">KX13/31.10348013</f>
        <v>0.10114623787598651</v>
      </c>
      <c r="KZ13" s="17">
        <v>3.734</v>
      </c>
      <c r="LA13" s="18">
        <f t="shared" ref="LA13:LA16" si="227">KZ13/31.10348013</f>
        <v>0.12005087483437178</v>
      </c>
      <c r="LB13" s="17">
        <v>3.1509999999999998</v>
      </c>
      <c r="LC13" s="18">
        <f t="shared" ref="LC13:LC16" si="228">LB13/31.10348013</f>
        <v>0.10130699159161903</v>
      </c>
      <c r="LD13" s="17">
        <v>2.9140000000000001</v>
      </c>
      <c r="LE13" s="18">
        <f t="shared" ref="LE13:LE16" si="229">LD13/31.10348013</f>
        <v>9.3687265470637229E-2</v>
      </c>
      <c r="LF13" s="17">
        <v>2.9239999999999999</v>
      </c>
      <c r="LG13" s="18">
        <f t="shared" ref="LG13:LG16" si="230">LF13/31.10348013</f>
        <v>9.4008772901902279E-2</v>
      </c>
      <c r="LH13" s="17">
        <v>3.1320000000000001</v>
      </c>
      <c r="LI13" s="18">
        <f t="shared" ref="LI13:LI16" si="231">LH13/31.10348013</f>
        <v>0.10069612747221544</v>
      </c>
      <c r="LJ13" s="17">
        <v>3.1960000000000002</v>
      </c>
      <c r="LK13" s="18">
        <f t="shared" ref="LK13:LK16" si="232">LJ13/31.10348013</f>
        <v>0.1027537750323118</v>
      </c>
      <c r="LL13" s="17">
        <v>2.8919999999999999</v>
      </c>
      <c r="LM13" s="18">
        <f t="shared" ref="LM13:LM16" si="233">LL13/31.10348013</f>
        <v>9.2979949121854089E-2</v>
      </c>
      <c r="LN13" s="17">
        <v>3.4950000000000001</v>
      </c>
      <c r="LO13" s="18">
        <f t="shared" ref="LO13:LO16" si="234">LN13/31.10348013</f>
        <v>0.11236684722713695</v>
      </c>
      <c r="LP13" s="17">
        <v>3.2890000000000001</v>
      </c>
      <c r="LQ13" s="18">
        <f t="shared" ref="LQ13:LQ16" si="235">LP13/31.10348013</f>
        <v>0.10574379414307682</v>
      </c>
      <c r="LR13" s="17">
        <v>3.5649999999999999</v>
      </c>
      <c r="LS13" s="18">
        <f t="shared" ref="LS13:LS16" si="236">LR13/31.10348013</f>
        <v>0.11461739924599235</v>
      </c>
      <c r="LT13" s="17">
        <v>3.9159999999999999</v>
      </c>
      <c r="LU13" s="18">
        <f t="shared" ref="LU13:LU16" si="237">LT13/31.10348013</f>
        <v>0.12590231008339581</v>
      </c>
      <c r="LV13" s="17">
        <v>4.1189999999999998</v>
      </c>
      <c r="LW13" s="18">
        <f t="shared" ref="LW13:LW16" si="238">LV13/31.10348013</f>
        <v>0.13242891093807643</v>
      </c>
      <c r="LX13" s="17">
        <v>3.5640000000000001</v>
      </c>
      <c r="LY13" s="18">
        <f t="shared" ref="LY13:LY16" si="239">LX13/31.10348013</f>
        <v>0.11458524850286585</v>
      </c>
      <c r="LZ13" s="17">
        <v>3.0019999999999998</v>
      </c>
      <c r="MA13" s="18">
        <f t="shared" ref="MA13:MA16" si="240">LZ13/31.10348013</f>
        <v>9.6516530865769709E-2</v>
      </c>
      <c r="MB13" s="17">
        <v>3.1619999999999999</v>
      </c>
      <c r="MC13" s="18">
        <f t="shared" ref="MC13:MC16" si="241">MB13/31.10348013</f>
        <v>0.10166064976601059</v>
      </c>
      <c r="MD13" s="17">
        <v>2.8730000000000002</v>
      </c>
      <c r="ME13" s="18">
        <f t="shared" ref="ME13:ME16" si="242">MD13/31.10348013</f>
        <v>9.2369085002450502E-2</v>
      </c>
      <c r="MF13" s="17">
        <v>2.9089999999999998</v>
      </c>
      <c r="MG13" s="18">
        <f t="shared" ref="MG13:MG16" si="243">MF13/31.10348013</f>
        <v>9.352651175500469E-2</v>
      </c>
      <c r="MH13" s="17">
        <v>3.012</v>
      </c>
      <c r="MI13" s="18">
        <f t="shared" ref="MI13:MI16" si="244">MH13/31.10348013</f>
        <v>9.6838038297034773E-2</v>
      </c>
      <c r="MJ13" s="17">
        <v>2.9129999999999998</v>
      </c>
      <c r="MK13" s="18">
        <f t="shared" ref="MK13:MK16" si="245">MJ13/31.10348013</f>
        <v>9.3655114727510702E-2</v>
      </c>
      <c r="ML13" s="17">
        <v>2.8090000000000002</v>
      </c>
      <c r="MM13" s="18">
        <f t="shared" ref="MM13:MM16" si="246">ML13/31.10348013</f>
        <v>9.0311437442354148E-2</v>
      </c>
      <c r="MN13" s="17">
        <v>2.8220000000000001</v>
      </c>
      <c r="MO13" s="18">
        <f t="shared" ref="MO13:MO16" si="247">MN13/31.10348013</f>
        <v>9.072939710299871E-2</v>
      </c>
      <c r="MP13" s="17">
        <v>3.2309999999999999</v>
      </c>
      <c r="MQ13" s="18">
        <f t="shared" ref="MQ13:MQ16" si="248">MP13/31.10348013</f>
        <v>0.10387905104173949</v>
      </c>
      <c r="MR13" s="17">
        <v>3.5059999999999998</v>
      </c>
      <c r="MS13" s="18">
        <f t="shared" ref="MS13:MS16" si="249">MR13/31.10348013</f>
        <v>0.1127205054015285</v>
      </c>
      <c r="MT13" s="17">
        <v>2.9319999999999999</v>
      </c>
      <c r="MU13" s="18">
        <f t="shared" ref="MU13:MU16" si="250">MT13/31.10348013</f>
        <v>9.4265978846914317E-2</v>
      </c>
      <c r="MV13" s="17">
        <v>3.0110000000000001</v>
      </c>
      <c r="MW13" s="18">
        <f t="shared" ref="MW13:MW16" si="251">MV13/31.10348013</f>
        <v>9.680588755390826E-2</v>
      </c>
      <c r="MX13" s="17">
        <v>2.8130000000000002</v>
      </c>
      <c r="MY13" s="18">
        <f t="shared" ref="MY13:MY16" si="252">MX13/31.10348013</f>
        <v>9.0440040414860159E-2</v>
      </c>
      <c r="MZ13" s="17">
        <v>2.992</v>
      </c>
      <c r="NA13" s="18">
        <f t="shared" ref="NA13:NA16" si="253">MZ13/31.10348013</f>
        <v>9.6195023434504659E-2</v>
      </c>
      <c r="NB13" s="17">
        <v>2.819</v>
      </c>
      <c r="NC13" s="18">
        <f t="shared" ref="NC13:NC16" si="254">NB13/31.10348013</f>
        <v>9.0632944873619184E-2</v>
      </c>
      <c r="ND13" s="17">
        <v>3.8769999999999998</v>
      </c>
      <c r="NE13" s="18">
        <f t="shared" ref="NE13:NE16" si="255">ND13/31.10348013</f>
        <v>0.12464843110146208</v>
      </c>
      <c r="NF13" s="17">
        <v>3.5409999999999999</v>
      </c>
      <c r="NG13" s="18">
        <f t="shared" ref="NG13:NG16" si="256">NF13/31.10348013</f>
        <v>0.11384578141095621</v>
      </c>
      <c r="NH13" s="17">
        <v>3.0059999999999998</v>
      </c>
      <c r="NI13" s="18">
        <f t="shared" ref="NI13:NI16" si="257">NH13/31.10348013</f>
        <v>9.6645133838275721E-2</v>
      </c>
      <c r="NJ13" s="17">
        <v>3.2829999999999999</v>
      </c>
      <c r="NK13" s="18">
        <f t="shared" ref="NK13:NK16" si="258">NJ13/31.10348013</f>
        <v>0.10555088968431778</v>
      </c>
      <c r="NL13" s="17">
        <v>3.012</v>
      </c>
      <c r="NM13" s="18">
        <f t="shared" ref="NM13:NM16" si="259">NL13/31.10348013</f>
        <v>9.6838038297034773E-2</v>
      </c>
      <c r="NN13" s="17">
        <v>3.2269999999999999</v>
      </c>
      <c r="NO13" s="18">
        <f t="shared" ref="NO13:NO16" si="260">NN13/31.10348013</f>
        <v>0.10375044806923346</v>
      </c>
      <c r="NP13" s="17">
        <v>3.0720000000000001</v>
      </c>
      <c r="NQ13" s="18">
        <f t="shared" ref="NQ13:NQ16" si="261">NP13/31.10348013</f>
        <v>9.8767082884625101E-2</v>
      </c>
      <c r="NR13" s="17">
        <v>3.3690000000000002</v>
      </c>
      <c r="NS13" s="18">
        <f t="shared" ref="NS13:NS16" si="262">NR13/31.10348013</f>
        <v>0.10831585359319726</v>
      </c>
      <c r="NT13" s="17">
        <v>3.0659999999999998</v>
      </c>
      <c r="NU13" s="18">
        <f t="shared" ref="NU13:NU16" si="263">NT13/31.10348013</f>
        <v>9.8574178425866063E-2</v>
      </c>
      <c r="NV13" s="17">
        <v>3.2770000000000001</v>
      </c>
      <c r="NW13" s="18">
        <f t="shared" ref="NW13:NW16" si="264">NV13/31.10348013</f>
        <v>0.10535798522555874</v>
      </c>
      <c r="NX13" s="17">
        <v>3.2080000000000002</v>
      </c>
      <c r="NY13" s="18">
        <f t="shared" ref="NY13:NY16" si="265">NX13/31.10348013</f>
        <v>0.10313958394982986</v>
      </c>
      <c r="NZ13" s="17">
        <v>3.0070000000000001</v>
      </c>
      <c r="OA13" s="18">
        <f t="shared" ref="OA13:OA16" si="266">NZ13/31.10348013</f>
        <v>9.6677284581402248E-2</v>
      </c>
      <c r="OB13" s="17">
        <v>3.1150000000000002</v>
      </c>
      <c r="OC13" s="18">
        <f t="shared" ref="OC13:OC16" si="267">OB13/31.10348013</f>
        <v>0.10014956483906484</v>
      </c>
      <c r="OD13" s="17">
        <v>3.302</v>
      </c>
      <c r="OE13" s="18">
        <f t="shared" ref="OE13:OE16" si="268">OD13/31.10348013</f>
        <v>0.10616175380372138</v>
      </c>
      <c r="OF13" s="17">
        <v>2.8650000000000002</v>
      </c>
      <c r="OG13" s="18">
        <f t="shared" ref="OG13:OG16" si="269">OF13/31.10348013</f>
        <v>9.2111879057438451E-2</v>
      </c>
      <c r="OH13" s="17">
        <v>2.9670000000000001</v>
      </c>
      <c r="OI13" s="18">
        <f t="shared" ref="OI13:OI16" si="270">OH13/31.10348013</f>
        <v>9.539125485634202E-2</v>
      </c>
      <c r="OJ13" s="17">
        <v>2.9729999999999999</v>
      </c>
      <c r="OK13" s="18">
        <f t="shared" ref="OK13:OK16" si="271">OJ13/31.10348013</f>
        <v>9.5584159315101044E-2</v>
      </c>
      <c r="OL13" s="17">
        <v>3.5510000000000002</v>
      </c>
      <c r="OM13" s="18">
        <f t="shared" ref="OM13:OM16" si="272">OL13/31.10348013</f>
        <v>0.11416728884222127</v>
      </c>
      <c r="ON13" s="17">
        <v>3.6240000000000001</v>
      </c>
      <c r="OO13" s="18">
        <f t="shared" ref="OO13:OO16" si="273">ON13/31.10348013</f>
        <v>0.11651429309045618</v>
      </c>
      <c r="OP13" s="17">
        <v>2.9089999999999998</v>
      </c>
      <c r="OQ13" s="18">
        <f t="shared" ref="OQ13:OQ16" si="274">OP13/31.10348013</f>
        <v>9.352651175500469E-2</v>
      </c>
      <c r="OR13" s="17">
        <v>3.5950000000000002</v>
      </c>
      <c r="OS13" s="18">
        <f t="shared" ref="OS13:OS16" si="275">OR13/31.10348013</f>
        <v>0.11558192153978752</v>
      </c>
      <c r="OT13" s="17">
        <v>2.9689999999999999</v>
      </c>
      <c r="OU13" s="18">
        <f t="shared" ref="OU13:OU16" si="276">OT13/31.10348013</f>
        <v>9.5455556342595019E-2</v>
      </c>
      <c r="OV13" s="17">
        <v>2.625</v>
      </c>
      <c r="OW13" s="18">
        <f t="shared" ref="OW13:OW16" si="277">OV13/31.10348013</f>
        <v>8.4395700707077109E-2</v>
      </c>
      <c r="OX13" s="17">
        <v>2.9169999999999998</v>
      </c>
      <c r="OY13" s="18">
        <f t="shared" ref="OY13:OY16" si="278">OX13/31.10348013</f>
        <v>9.3783717700016728E-2</v>
      </c>
      <c r="OZ13" s="17">
        <v>2.9340000000000002</v>
      </c>
      <c r="PA13" s="18">
        <f t="shared" ref="PA13:PA16" si="279">OZ13/31.10348013</f>
        <v>9.4330280333167343E-2</v>
      </c>
      <c r="PB13" s="17">
        <v>2.9009999999999998</v>
      </c>
      <c r="PC13" s="18">
        <f t="shared" ref="PC13:PC16" si="280">PB13/31.10348013</f>
        <v>9.3269305809992639E-2</v>
      </c>
      <c r="PD13" s="17">
        <v>2.952</v>
      </c>
      <c r="PE13" s="18">
        <f t="shared" ref="PE13:PE16" si="281">PD13/31.10348013</f>
        <v>9.4908993709444431E-2</v>
      </c>
      <c r="PF13" s="17">
        <v>2.891</v>
      </c>
      <c r="PG13" s="18">
        <f t="shared" ref="PG13:PG16" si="282">PF13/31.10348013</f>
        <v>9.2947798378727589E-2</v>
      </c>
      <c r="PH13" s="17">
        <v>3.0230000000000001</v>
      </c>
      <c r="PI13" s="18">
        <f t="shared" ref="PI13:PI16" si="283">PH13/31.10348013</f>
        <v>9.7191696471426337E-2</v>
      </c>
      <c r="PJ13" s="17">
        <v>2.9409999999999998</v>
      </c>
      <c r="PK13" s="18">
        <f t="shared" ref="PK13:PK16" si="284">PJ13/31.10348013</f>
        <v>9.4555335535052867E-2</v>
      </c>
      <c r="PL13" s="17">
        <v>3.0110000000000001</v>
      </c>
      <c r="PM13" s="18">
        <f t="shared" ref="PM13:PM16" si="285">PL13/31.10348013</f>
        <v>9.680588755390826E-2</v>
      </c>
      <c r="PN13" s="17">
        <v>3.2690000000000001</v>
      </c>
      <c r="PO13" s="18">
        <f t="shared" ref="PO13:PO16" si="286">PN13/31.10348013</f>
        <v>0.1051007792805467</v>
      </c>
      <c r="PP13" s="17">
        <v>3.8220000000000001</v>
      </c>
      <c r="PQ13" s="18">
        <f t="shared" ref="PQ13:PQ16" si="287">PP13/31.10348013</f>
        <v>0.12288014022950428</v>
      </c>
      <c r="PR13" s="17">
        <v>3.0110000000000001</v>
      </c>
      <c r="PS13" s="18">
        <f t="shared" ref="PS13:PS16" si="288">PR13/31.10348013</f>
        <v>9.680588755390826E-2</v>
      </c>
      <c r="PT13" s="17">
        <v>2.9750000000000001</v>
      </c>
      <c r="PU13" s="18">
        <f t="shared" ref="PU13:PU16" si="289">PT13/31.10348013</f>
        <v>9.5648460801354057E-2</v>
      </c>
      <c r="PV13" s="17">
        <v>3.1219999999999999</v>
      </c>
      <c r="PW13" s="18">
        <f t="shared" ref="PW13:PW16" si="290">PV13/31.10348013</f>
        <v>0.10037462004095038</v>
      </c>
      <c r="PX13" s="17">
        <v>2.8290000000000002</v>
      </c>
      <c r="PY13" s="18">
        <f t="shared" ref="PY13:PY16" si="291">PX13/31.10348013</f>
        <v>9.0954452304884248E-2</v>
      </c>
      <c r="PZ13" s="17">
        <v>2.911</v>
      </c>
      <c r="QA13" s="18">
        <f t="shared" ref="QA13:QA16" si="292">PZ13/31.10348013</f>
        <v>9.3590813241257703E-2</v>
      </c>
      <c r="QB13" s="17">
        <v>3.3140000000000001</v>
      </c>
      <c r="QC13" s="18">
        <f t="shared" ref="QC13:QC16" si="293">QB13/31.10348013</f>
        <v>0.10654756272123946</v>
      </c>
      <c r="QD13" s="17">
        <v>4.0419999999999998</v>
      </c>
      <c r="QE13" s="18">
        <f t="shared" ref="QE13:QE16" si="294">QD13/31.10348013</f>
        <v>0.12995330371733549</v>
      </c>
      <c r="QF13" s="17">
        <v>2.645</v>
      </c>
      <c r="QG13" s="18">
        <f t="shared" ref="QG13:QG16" si="295">QF13/31.10348013</f>
        <v>8.5038715569607223E-2</v>
      </c>
      <c r="QH13" s="17">
        <v>2.157</v>
      </c>
      <c r="QI13" s="18">
        <f t="shared" ref="QI13:QI16" si="296">QH13/31.10348013</f>
        <v>6.9349152923872504E-2</v>
      </c>
      <c r="QJ13" s="17">
        <v>3.101</v>
      </c>
      <c r="QK13" s="18">
        <f t="shared" ref="QK13:QK16" si="297">QJ13/31.10348013</f>
        <v>9.9699454435293766E-2</v>
      </c>
      <c r="QL13" s="17">
        <v>3.3170000000000002</v>
      </c>
      <c r="QM13" s="18">
        <f t="shared" ref="QM13:QM16" si="298">QL13/31.10348013</f>
        <v>0.10664401495061897</v>
      </c>
      <c r="QN13" s="17">
        <v>3.3029999999999999</v>
      </c>
      <c r="QO13" s="18">
        <f t="shared" ref="QO13:QO16" si="299">QN13/31.10348013</f>
        <v>0.10619390454684788</v>
      </c>
      <c r="QP13" s="17">
        <v>2.6280000000000001</v>
      </c>
      <c r="QQ13" s="18">
        <f t="shared" ref="QQ13:QQ16" si="300">QP13/31.10348013</f>
        <v>8.4492152936456635E-2</v>
      </c>
      <c r="QR13" s="17">
        <v>2.5339999999999998</v>
      </c>
      <c r="QS13" s="18">
        <f t="shared" ref="QS13:QS16" si="301">QR13/31.10348013</f>
        <v>8.1469983082565103E-2</v>
      </c>
      <c r="QT13" s="17">
        <v>2.8069999999999999</v>
      </c>
      <c r="QU13" s="18">
        <f t="shared" ref="QU13:QU16" si="302">QT13/31.10348013</f>
        <v>9.0247135956101121E-2</v>
      </c>
      <c r="QV13" s="17">
        <v>2.629</v>
      </c>
      <c r="QW13" s="18">
        <f t="shared" ref="QW13:QW16" si="303">QV13/31.10348013</f>
        <v>8.4524303679583135E-2</v>
      </c>
      <c r="QX13" s="17">
        <v>2.661</v>
      </c>
      <c r="QY13" s="18">
        <f t="shared" ref="QY13:QY16" si="304">QX13/31.10348013</f>
        <v>8.5553127459631312E-2</v>
      </c>
      <c r="QZ13" s="17">
        <v>1.8720000000000001</v>
      </c>
      <c r="RA13" s="18">
        <f t="shared" ref="RA13:RA16" si="305">QZ13/31.10348013</f>
        <v>6.0186191132818423E-2</v>
      </c>
      <c r="RB13" s="17">
        <v>2.1030000000000002</v>
      </c>
      <c r="RC13" s="18">
        <f t="shared" ref="RC13:RC16" si="306">RB13/31.10348013</f>
        <v>6.7613012795041214E-2</v>
      </c>
      <c r="RD13" s="17">
        <v>2.2440000000000002</v>
      </c>
      <c r="RE13" s="18">
        <f t="shared" ref="RE13:RE16" si="307">RD13/31.10348013</f>
        <v>7.2146267575878498E-2</v>
      </c>
      <c r="RF13" s="18">
        <v>3.02</v>
      </c>
      <c r="RG13" s="18">
        <f t="shared" ref="RG13:RG16" si="308">RF13/31.10348013</f>
        <v>9.709524424204681E-2</v>
      </c>
      <c r="RH13" s="17">
        <v>2.714</v>
      </c>
      <c r="RI13" s="18">
        <f t="shared" ref="RI13:RI16" si="309">RH13/31.10348013</f>
        <v>8.7257116845336102E-2</v>
      </c>
      <c r="RJ13" s="17">
        <v>3.004</v>
      </c>
      <c r="RK13" s="18">
        <f t="shared" ref="RK13:RK16" si="310">RJ13/31.10348013</f>
        <v>9.6580832352022722E-2</v>
      </c>
      <c r="RL13" s="17">
        <v>2.9470000000000001</v>
      </c>
      <c r="RM13" s="18">
        <f t="shared" ref="RM13:RM16" si="311">RL13/31.10348013</f>
        <v>9.4748239993811906E-2</v>
      </c>
      <c r="RN13" s="17">
        <v>3.008</v>
      </c>
      <c r="RO13" s="18">
        <f t="shared" ref="RO13:RO16" si="312">RN13/31.10348013</f>
        <v>9.6709435324528747E-2</v>
      </c>
      <c r="RP13" s="17">
        <v>3.4119999999999999</v>
      </c>
      <c r="RQ13" s="18">
        <f t="shared" ref="RQ13:RQ16" si="313">RP13/31.10348013</f>
        <v>0.10969833554763699</v>
      </c>
      <c r="RR13" s="17">
        <v>3.2189999999999999</v>
      </c>
      <c r="RS13" s="18">
        <f t="shared" ref="RS13:RS16" si="314">RR13/31.10348013</f>
        <v>0.10349324212422141</v>
      </c>
      <c r="RT13" s="17">
        <v>3.6379999999999999</v>
      </c>
      <c r="RU13" s="18">
        <f t="shared" ref="RU13:RU16" si="315">RT13/31.10348013</f>
        <v>0.11696440349422725</v>
      </c>
      <c r="RV13" s="17">
        <v>3.5270000000000001</v>
      </c>
      <c r="RW13" s="18">
        <f t="shared" ref="RW13:RW16" si="316">RV13/31.10348013</f>
        <v>0.11339567100718513</v>
      </c>
      <c r="RX13" s="17">
        <v>3.9569999999999999</v>
      </c>
      <c r="RY13" s="18">
        <f t="shared" ref="RY13:RY16" si="317">RX13/31.10348013</f>
        <v>0.12722049055158252</v>
      </c>
      <c r="RZ13" s="17">
        <v>3.5539999999999998</v>
      </c>
      <c r="SA13" s="18">
        <f t="shared" ref="SA13:SA16" si="318">RZ13/31.10348013</f>
        <v>0.11426374107160078</v>
      </c>
      <c r="SB13" s="18">
        <v>3.08</v>
      </c>
      <c r="SC13" s="18">
        <f t="shared" ref="SC13:SC16" si="319">SB13/31.10348013</f>
        <v>9.9024288829637153E-2</v>
      </c>
      <c r="SD13" s="17">
        <v>3.008</v>
      </c>
      <c r="SE13" s="18">
        <f t="shared" ref="SE13:SE16" si="320">SD13/31.10348013</f>
        <v>9.6709435324528747E-2</v>
      </c>
      <c r="SF13" s="17">
        <v>3.6970000000000001</v>
      </c>
      <c r="SG13" s="18">
        <f t="shared" ref="SG13:SG16" si="321">SF13/31.10348013</f>
        <v>0.11886129733869108</v>
      </c>
      <c r="SH13" s="17">
        <v>3.4369999999999998</v>
      </c>
      <c r="SI13" s="18">
        <f t="shared" ref="SI13:SI16" si="322">SH13/31.10348013</f>
        <v>0.11050210412579962</v>
      </c>
      <c r="SJ13" s="17">
        <v>3.355</v>
      </c>
      <c r="SK13" s="18">
        <f t="shared" ref="SK13:SK16" si="323">SJ13/31.10348013</f>
        <v>0.10786574318942617</v>
      </c>
      <c r="SL13" s="17">
        <v>3.3039999999999998</v>
      </c>
      <c r="SM13" s="18">
        <f t="shared" ref="SM13:SM16" si="324">SL13/31.10348013</f>
        <v>0.10622605528997439</v>
      </c>
      <c r="SN13" s="17">
        <v>3.0049999999999999</v>
      </c>
      <c r="SO13" s="18">
        <f t="shared" ref="SO13:SO16" si="325">SN13/31.10348013</f>
        <v>9.6612983095149221E-2</v>
      </c>
      <c r="SP13" s="17">
        <v>2.9540000000000002</v>
      </c>
      <c r="SQ13" s="18">
        <f t="shared" ref="SQ13:SQ16" si="326">SP13/31.10348013</f>
        <v>9.4973295195697444E-2</v>
      </c>
      <c r="SR13" s="17">
        <v>3.5430000000000001</v>
      </c>
      <c r="SS13" s="18">
        <f t="shared" ref="SS13:SS16" si="327">SR13/31.10348013</f>
        <v>0.11391008289720923</v>
      </c>
      <c r="ST13" s="17">
        <v>3.516</v>
      </c>
      <c r="SU13" s="18">
        <f t="shared" ref="SU13:SU16" si="328">ST13/31.10348013</f>
        <v>0.11304201283279357</v>
      </c>
      <c r="SV13" s="17">
        <v>3.355</v>
      </c>
      <c r="SW13" s="18">
        <f t="shared" ref="SW13:SW16" si="329">SV13/31.10348013</f>
        <v>0.10786574318942617</v>
      </c>
      <c r="SX13" s="17">
        <v>3.7530000000000001</v>
      </c>
      <c r="SY13" s="18">
        <f t="shared" ref="SY13:SY16" si="330">SX13/31.10348013</f>
        <v>0.1206617389537754</v>
      </c>
      <c r="SZ13" s="17">
        <v>3.4929999999999999</v>
      </c>
      <c r="TA13" s="18">
        <f t="shared" ref="TA13:TA16" si="331">SZ13/31.10348013</f>
        <v>0.11230254574088394</v>
      </c>
      <c r="TB13" s="17">
        <v>3.53</v>
      </c>
      <c r="TC13" s="18">
        <f t="shared" ref="TC13:TC16" si="332">TB13/31.10348013</f>
        <v>0.11349212323656464</v>
      </c>
      <c r="TD13" s="17">
        <v>3.6509999999999998</v>
      </c>
      <c r="TE13" s="18">
        <f t="shared" ref="TE13:TE16" si="333">TD13/31.10348013</f>
        <v>0.11738236315487181</v>
      </c>
      <c r="TF13" s="17">
        <v>3.0139999999999998</v>
      </c>
      <c r="TG13" s="18">
        <f t="shared" ref="TG13:TG16" si="334">TF13/31.10348013</f>
        <v>9.6902339783287772E-2</v>
      </c>
      <c r="TH13" s="17">
        <v>2.984</v>
      </c>
      <c r="TI13" s="18">
        <f t="shared" ref="TI13:TI16" si="335">TH13/31.10348013</f>
        <v>9.5937817489492608E-2</v>
      </c>
      <c r="TJ13" s="17">
        <v>2.7360000000000002</v>
      </c>
      <c r="TK13" s="18">
        <f t="shared" ref="TK13:TK16" si="336">TJ13/31.10348013</f>
        <v>8.7964433194119243E-2</v>
      </c>
      <c r="TL13" s="17">
        <v>2.7879999999999998</v>
      </c>
      <c r="TM13" s="18">
        <f t="shared" ref="TM13:TM16" si="337">TL13/31.10348013</f>
        <v>8.9636271836697506E-2</v>
      </c>
      <c r="TN13" s="17">
        <v>3.6970000000000001</v>
      </c>
      <c r="TO13" s="18">
        <f t="shared" ref="TO13:TO16" si="338">TN13/31.10348013</f>
        <v>0.11886129733869108</v>
      </c>
      <c r="TP13" s="17">
        <v>3.3090000000000002</v>
      </c>
      <c r="TQ13" s="18">
        <f t="shared" ref="TQ13:TQ16" si="339">TP13/31.10348013</f>
        <v>0.10638680900560693</v>
      </c>
      <c r="TR13" s="17">
        <v>3.669</v>
      </c>
      <c r="TS13" s="18">
        <f t="shared" ref="TS13:TS16" si="340">TR13/31.10348013</f>
        <v>0.11796107653114893</v>
      </c>
      <c r="TT13" s="17">
        <v>3.14</v>
      </c>
      <c r="TU13" s="2">
        <f t="shared" ref="TU13:TU16" si="341">TT13/31.10348013</f>
        <v>0.10095333341722748</v>
      </c>
      <c r="TV13" s="17">
        <v>3.621</v>
      </c>
      <c r="TW13" s="18">
        <f t="shared" ref="TW13:TW16" si="342">TV13/31.10348013</f>
        <v>0.11641784086107665</v>
      </c>
      <c r="TX13" s="17"/>
      <c r="TY13" s="18">
        <f t="shared" ref="TY13:TY16" si="343">TX13/31.10348013</f>
        <v>0</v>
      </c>
      <c r="TZ13" s="17"/>
      <c r="UA13" s="2">
        <f t="shared" ref="UA13:UA16" si="344">TZ13/31.10348013</f>
        <v>0</v>
      </c>
      <c r="UB13" s="17"/>
      <c r="UC13" s="18">
        <f t="shared" ref="UC13:UC16" si="345">UB13/31.10348013</f>
        <v>0</v>
      </c>
      <c r="UD13" s="17"/>
      <c r="UE13" s="18">
        <f t="shared" ref="UE13:UE16" si="346">UD13/31.10348013</f>
        <v>0</v>
      </c>
      <c r="UF13" s="17"/>
      <c r="UG13" s="2">
        <f t="shared" ref="UG13:UG16" si="347">UF13/31.10348013</f>
        <v>0</v>
      </c>
      <c r="UH13" s="17"/>
      <c r="UI13" s="18">
        <f t="shared" ref="UI13:UI16" si="348">UH13/31.10348013</f>
        <v>0</v>
      </c>
      <c r="UJ13" s="17"/>
      <c r="UK13" s="18">
        <f t="shared" ref="UK13:UK16" si="349">UJ13/31.10348013</f>
        <v>0</v>
      </c>
      <c r="UL13" s="17"/>
      <c r="UM13" s="2">
        <f t="shared" ref="UM13:UM16" si="350">UL13/31.10348013</f>
        <v>0</v>
      </c>
      <c r="UN13" s="17"/>
      <c r="UO13" s="18">
        <f t="shared" ref="UO13:UO16" si="351">UN13/31.10348013</f>
        <v>0</v>
      </c>
      <c r="UP13" s="17"/>
      <c r="UQ13" s="18">
        <f t="shared" ref="UQ13:UQ16" si="352">UP13/31.10348013</f>
        <v>0</v>
      </c>
      <c r="UR13" s="17"/>
      <c r="US13" s="2">
        <f t="shared" ref="US13:US16" si="353">UR13/31.10348013</f>
        <v>0</v>
      </c>
      <c r="UT13" s="17"/>
      <c r="UU13" s="18">
        <f t="shared" ref="UU13:UU16" si="354">UT13/31.10348013</f>
        <v>0</v>
      </c>
      <c r="UV13" s="17"/>
      <c r="UW13" s="18">
        <f t="shared" ref="UW13:UW16" si="355">UV13/31.10348013</f>
        <v>0</v>
      </c>
      <c r="UX13" s="17"/>
      <c r="UY13" s="2">
        <f t="shared" ref="UY13:UY16" si="356">UX13/31.10348013</f>
        <v>0</v>
      </c>
    </row>
    <row r="14" spans="2:587" x14ac:dyDescent="0.2">
      <c r="B14" s="44"/>
      <c r="C14" s="23" t="s">
        <v>8</v>
      </c>
      <c r="D14" s="17">
        <v>2.3140000000000001</v>
      </c>
      <c r="E14" s="17">
        <v>7.3999999999999996E-2</v>
      </c>
      <c r="F14" s="17">
        <v>2.234</v>
      </c>
      <c r="G14" s="22">
        <v>7.1999999999999995E-2</v>
      </c>
      <c r="H14" s="17">
        <v>2.1150000000000002</v>
      </c>
      <c r="I14" s="18">
        <f t="shared" si="175"/>
        <v>6.7998821712559276E-2</v>
      </c>
      <c r="J14" s="17">
        <v>2.302</v>
      </c>
      <c r="K14" s="18">
        <f t="shared" si="175"/>
        <v>7.4011010677215813E-2</v>
      </c>
      <c r="L14" s="17">
        <v>2.6859999999999999</v>
      </c>
      <c r="M14" s="18">
        <f>L14/31.10348013</f>
        <v>8.6356896037793951E-2</v>
      </c>
      <c r="N14" s="17">
        <v>2.4239999999999999</v>
      </c>
      <c r="O14" s="18">
        <f>N14/31.10348013</f>
        <v>7.7933401338649497E-2</v>
      </c>
      <c r="P14" s="17">
        <v>2.3290000000000002</v>
      </c>
      <c r="Q14" s="18">
        <f>P14/31.10348013</f>
        <v>7.4879080741631465E-2</v>
      </c>
      <c r="R14" s="17">
        <v>2.3039999999999998</v>
      </c>
      <c r="S14" s="18">
        <f>R14/31.10348013</f>
        <v>7.4075312163468826E-2</v>
      </c>
      <c r="T14" s="17">
        <v>2.161</v>
      </c>
      <c r="U14" s="18">
        <f t="shared" si="177"/>
        <v>6.9477755896378529E-2</v>
      </c>
      <c r="V14" s="17">
        <v>2.2240000000000002</v>
      </c>
      <c r="W14" s="18">
        <f t="shared" si="177"/>
        <v>7.1503252713348384E-2</v>
      </c>
      <c r="X14" s="17">
        <v>2.3410000000000002</v>
      </c>
      <c r="Y14" s="18">
        <f t="shared" si="177"/>
        <v>7.5264889659149542E-2</v>
      </c>
      <c r="Z14" s="17">
        <v>2.456</v>
      </c>
      <c r="AA14" s="18">
        <f t="shared" si="177"/>
        <v>7.8962225118697674E-2</v>
      </c>
      <c r="AB14" s="17">
        <v>2.3639999999999999</v>
      </c>
      <c r="AC14" s="18">
        <f t="shared" si="177"/>
        <v>7.6004356751059154E-2</v>
      </c>
      <c r="AD14" s="17">
        <v>2.722</v>
      </c>
      <c r="AE14" s="18">
        <f t="shared" si="177"/>
        <v>8.7514322790348154E-2</v>
      </c>
      <c r="AF14" s="17">
        <v>2.2719999999999998</v>
      </c>
      <c r="AG14" s="18">
        <f t="shared" si="177"/>
        <v>7.3046488383420635E-2</v>
      </c>
      <c r="AH14" s="17">
        <v>2.6230000000000002</v>
      </c>
      <c r="AI14" s="18">
        <f t="shared" si="177"/>
        <v>8.433139922082411E-2</v>
      </c>
      <c r="AJ14" s="17">
        <v>2.895</v>
      </c>
      <c r="AK14" s="18">
        <f t="shared" si="177"/>
        <v>9.3076401351233615E-2</v>
      </c>
      <c r="AL14" s="17">
        <v>2.927</v>
      </c>
      <c r="AM14" s="18">
        <f t="shared" si="178"/>
        <v>9.4105225131281792E-2</v>
      </c>
      <c r="AN14" s="17">
        <v>2.6539999999999999</v>
      </c>
      <c r="AO14" s="18">
        <f t="shared" si="178"/>
        <v>8.5328072257745774E-2</v>
      </c>
      <c r="AP14" s="17">
        <v>2.6930000000000001</v>
      </c>
      <c r="AQ14" s="18">
        <f t="shared" si="178"/>
        <v>8.6581951239679489E-2</v>
      </c>
      <c r="AR14" s="17">
        <v>2.306</v>
      </c>
      <c r="AS14" s="18">
        <f t="shared" si="178"/>
        <v>7.4139613649721839E-2</v>
      </c>
      <c r="AT14" s="18">
        <v>2.0409999999999999</v>
      </c>
      <c r="AU14" s="18">
        <f t="shared" si="178"/>
        <v>6.5619666721197858E-2</v>
      </c>
      <c r="AV14" s="17">
        <v>2.1389999999999998</v>
      </c>
      <c r="AW14" s="18">
        <f t="shared" si="178"/>
        <v>6.8770439547595402E-2</v>
      </c>
      <c r="AX14" s="18">
        <v>2.0419999999999998</v>
      </c>
      <c r="AY14" s="18">
        <f t="shared" si="178"/>
        <v>6.5651817464324358E-2</v>
      </c>
      <c r="AZ14" s="17">
        <v>2.347</v>
      </c>
      <c r="BA14" s="18">
        <f t="shared" si="178"/>
        <v>7.5457794117908567E-2</v>
      </c>
      <c r="BB14" s="17">
        <v>2.044</v>
      </c>
      <c r="BC14" s="18">
        <f t="shared" si="179"/>
        <v>6.5716118950577385E-2</v>
      </c>
      <c r="BD14" s="18">
        <v>2.2599999999999998</v>
      </c>
      <c r="BE14" s="18">
        <f t="shared" si="179"/>
        <v>7.2660679465902572E-2</v>
      </c>
      <c r="BF14" s="17">
        <v>2.3639999999999999</v>
      </c>
      <c r="BG14" s="18">
        <f t="shared" si="179"/>
        <v>7.6004356751059154E-2</v>
      </c>
      <c r="BH14" s="17">
        <v>2.117</v>
      </c>
      <c r="BI14" s="18">
        <f t="shared" si="179"/>
        <v>6.8063123198812289E-2</v>
      </c>
      <c r="BJ14" s="17">
        <v>2.2309999999999999</v>
      </c>
      <c r="BK14" s="18">
        <f>BJ14/31.10348013</f>
        <v>7.1728307915233908E-2</v>
      </c>
      <c r="BL14" s="17">
        <v>2.27</v>
      </c>
      <c r="BM14" s="18">
        <f t="shared" si="180"/>
        <v>7.2982186897167636E-2</v>
      </c>
      <c r="BN14" s="17">
        <v>2.1850000000000001</v>
      </c>
      <c r="BO14" s="18">
        <f t="shared" si="180"/>
        <v>7.0249373731414669E-2</v>
      </c>
      <c r="BP14" s="17">
        <v>2.1949999999999998</v>
      </c>
      <c r="BQ14" s="18">
        <f t="shared" si="180"/>
        <v>7.0570881162679719E-2</v>
      </c>
      <c r="BR14" s="17">
        <v>2.036</v>
      </c>
      <c r="BS14" s="18">
        <f t="shared" si="180"/>
        <v>6.5458913005565333E-2</v>
      </c>
      <c r="BT14" s="17">
        <v>2.0830000000000002</v>
      </c>
      <c r="BU14" s="18">
        <f t="shared" si="181"/>
        <v>6.6969997932511099E-2</v>
      </c>
      <c r="BV14" s="17">
        <v>2.1520000000000001</v>
      </c>
      <c r="BW14" s="18">
        <f t="shared" si="181"/>
        <v>6.9188399208239978E-2</v>
      </c>
      <c r="BX14" s="17">
        <v>2.0139999999999998</v>
      </c>
      <c r="BY14" s="18">
        <f t="shared" si="181"/>
        <v>6.4751596656782207E-2</v>
      </c>
      <c r="BZ14" s="17">
        <v>2.0209999999999999</v>
      </c>
      <c r="CA14" s="18">
        <f t="shared" si="181"/>
        <v>6.4976651858667744E-2</v>
      </c>
      <c r="CB14" s="17">
        <v>2.0049999999999999</v>
      </c>
      <c r="CC14" s="18">
        <f t="shared" si="181"/>
        <v>6.4462239968643656E-2</v>
      </c>
      <c r="CD14" s="17">
        <v>2.125</v>
      </c>
      <c r="CE14" s="18">
        <f t="shared" si="181"/>
        <v>6.8320329143824327E-2</v>
      </c>
      <c r="CF14" s="17">
        <v>2.1869999999999998</v>
      </c>
      <c r="CG14" s="18">
        <f t="shared" si="181"/>
        <v>7.0313675217667668E-2</v>
      </c>
      <c r="CH14" s="17">
        <v>1.9890000000000001</v>
      </c>
      <c r="CI14" s="18">
        <f t="shared" si="181"/>
        <v>6.3947828078619581E-2</v>
      </c>
      <c r="CJ14" s="17">
        <v>2.1059999999999999</v>
      </c>
      <c r="CK14" s="18">
        <f t="shared" si="182"/>
        <v>6.7709465024420712E-2</v>
      </c>
      <c r="CL14" s="17">
        <v>2.0270000000000001</v>
      </c>
      <c r="CM14" s="18">
        <f t="shared" si="182"/>
        <v>6.5169556317426783E-2</v>
      </c>
      <c r="CN14" s="17">
        <v>2.0049999999999999</v>
      </c>
      <c r="CO14" s="18">
        <f t="shared" si="182"/>
        <v>6.4462239968643656E-2</v>
      </c>
      <c r="CP14" s="17">
        <v>2.29</v>
      </c>
      <c r="CQ14" s="18">
        <f t="shared" si="182"/>
        <v>7.362520175969775E-2</v>
      </c>
      <c r="CR14" s="17">
        <v>2.0070000000000001</v>
      </c>
      <c r="CS14" s="18">
        <f t="shared" si="183"/>
        <v>6.4526541454896669E-2</v>
      </c>
      <c r="CT14" s="17">
        <v>2.0649999999999999</v>
      </c>
      <c r="CU14" s="18">
        <f t="shared" si="183"/>
        <v>6.6391284556233998E-2</v>
      </c>
      <c r="CV14" s="17"/>
      <c r="CW14" s="17"/>
      <c r="CX14" s="17"/>
      <c r="CY14" s="17"/>
      <c r="CZ14" s="17"/>
      <c r="DA14" s="17"/>
      <c r="DB14" s="17"/>
      <c r="DC14" s="17"/>
      <c r="DD14" s="17"/>
      <c r="DE14" s="17"/>
      <c r="DF14" s="17"/>
      <c r="DG14" s="17"/>
      <c r="DH14" s="17"/>
      <c r="DI14" s="17"/>
      <c r="DJ14" s="17"/>
      <c r="DK14" s="17"/>
      <c r="DL14" s="17"/>
      <c r="DM14" s="17"/>
      <c r="DN14" s="17"/>
      <c r="DO14" s="17"/>
      <c r="DP14" s="17"/>
      <c r="DQ14" s="17"/>
      <c r="DR14" s="17"/>
      <c r="DS14" s="17"/>
      <c r="DT14" s="17"/>
      <c r="DU14" s="17"/>
      <c r="DV14" s="17">
        <v>1.879</v>
      </c>
      <c r="DW14" s="18">
        <f>DV14/31.10348013</f>
        <v>6.0411246334703961E-2</v>
      </c>
      <c r="DX14" s="17">
        <v>1.867</v>
      </c>
      <c r="DY14" s="18">
        <f>DX14/31.10348013</f>
        <v>6.0025437417185891E-2</v>
      </c>
      <c r="DZ14" s="17">
        <v>1.726</v>
      </c>
      <c r="EA14" s="18">
        <f>DZ14/31.10348013</f>
        <v>5.5492182636348607E-2</v>
      </c>
      <c r="EB14" s="17">
        <v>1.9239999999999999</v>
      </c>
      <c r="EC14" s="18">
        <f>EB14/31.10348013</f>
        <v>6.1858029775396707E-2</v>
      </c>
      <c r="ED14" s="17">
        <v>1.919</v>
      </c>
      <c r="EE14" s="18">
        <f>ED14/31.10348013</f>
        <v>6.1697276059764182E-2</v>
      </c>
      <c r="EF14" s="17">
        <v>2.177</v>
      </c>
      <c r="EG14" s="18">
        <f>EF14/31.10348013</f>
        <v>6.9992167786402618E-2</v>
      </c>
      <c r="EH14" s="17">
        <v>2.2730000000000001</v>
      </c>
      <c r="EI14" s="18">
        <f>EH14/31.10348013</f>
        <v>7.3078639126547162E-2</v>
      </c>
      <c r="EJ14" s="17">
        <v>2.2370000000000001</v>
      </c>
      <c r="EK14" s="18">
        <f>EJ14/31.10348013</f>
        <v>7.192121237399296E-2</v>
      </c>
      <c r="EL14" s="17">
        <v>2.1680000000000001</v>
      </c>
      <c r="EM14" s="18">
        <f>EL14/31.10348013</f>
        <v>6.9702811098264067E-2</v>
      </c>
      <c r="EN14" s="17">
        <v>2.0659999999999998</v>
      </c>
      <c r="EO14" s="18">
        <f>EN14/31.10348013</f>
        <v>6.6423435299360498E-2</v>
      </c>
      <c r="EP14" s="17">
        <v>2.0779999999999998</v>
      </c>
      <c r="EQ14" s="18">
        <f>EP14/31.10348013</f>
        <v>6.6809244216878561E-2</v>
      </c>
      <c r="ER14" s="17">
        <v>1.9259999999999999</v>
      </c>
      <c r="ES14" s="18">
        <f>ER14/31.10348013</f>
        <v>6.192233126164972E-2</v>
      </c>
      <c r="ET14" s="17">
        <v>2.0150000000000001</v>
      </c>
      <c r="EU14" s="18">
        <f>ET14/31.10348013</f>
        <v>6.478374739990872E-2</v>
      </c>
      <c r="EV14" s="17">
        <v>2.133</v>
      </c>
      <c r="EW14" s="18">
        <f>EV14/31.10348013</f>
        <v>6.8577535088836378E-2</v>
      </c>
      <c r="EX14" s="17">
        <v>2.181</v>
      </c>
      <c r="EY14" s="18">
        <f>EX14/31.10348013</f>
        <v>7.0120770758908643E-2</v>
      </c>
      <c r="EZ14" s="17">
        <v>2.2309999999999999</v>
      </c>
      <c r="FA14" s="18">
        <f>EZ14/31.10348013</f>
        <v>7.1728307915233908E-2</v>
      </c>
      <c r="FB14" s="17">
        <v>2.5150000000000001</v>
      </c>
      <c r="FC14" s="18">
        <f>FB14/31.10348013</f>
        <v>8.0859118963161503E-2</v>
      </c>
      <c r="FD14" s="17">
        <v>2.3559999999999999</v>
      </c>
      <c r="FE14" s="18">
        <f>FD14/31.10348013</f>
        <v>7.5747150806047117E-2</v>
      </c>
      <c r="FF14" s="17">
        <v>2.0289999999999999</v>
      </c>
      <c r="FG14" s="18">
        <f>FF14/31.10348013</f>
        <v>6.5233857803679796E-2</v>
      </c>
      <c r="FH14" s="17">
        <v>2.1309999999999998</v>
      </c>
      <c r="FI14" s="18">
        <f>FH14/31.10348013</f>
        <v>6.8513233602583351E-2</v>
      </c>
      <c r="FJ14" s="17">
        <v>2.3959999999999999</v>
      </c>
      <c r="FK14" s="18">
        <f>FJ14/31.10348013</f>
        <v>7.7033180531107331E-2</v>
      </c>
      <c r="FL14" s="17">
        <v>2.4460000000000002</v>
      </c>
      <c r="FM14" s="18">
        <f>FL14/31.10348013</f>
        <v>7.8640717687432624E-2</v>
      </c>
      <c r="FN14" s="17">
        <v>2.6859999999999999</v>
      </c>
      <c r="FO14" s="18">
        <f>FN14/31.10348013</f>
        <v>8.6356896037793951E-2</v>
      </c>
      <c r="FP14" s="17">
        <v>2.516</v>
      </c>
      <c r="FQ14" s="18">
        <f>FP14/31.10348013</f>
        <v>8.0891269706288002E-2</v>
      </c>
      <c r="FR14" s="17">
        <v>2.1110000000000002</v>
      </c>
      <c r="FS14" s="18">
        <f>FR14/31.10348013</f>
        <v>6.7870218740053251E-2</v>
      </c>
      <c r="FT14" s="17">
        <v>2.3050000000000002</v>
      </c>
      <c r="FU14" s="18">
        <f>FT14/31.10348013</f>
        <v>7.4107462906595339E-2</v>
      </c>
      <c r="FV14" s="17">
        <v>2.0139999999999998</v>
      </c>
      <c r="FW14" s="18">
        <f>FV14/31.10348013</f>
        <v>6.4751596656782207E-2</v>
      </c>
      <c r="FX14" s="17">
        <v>2.3069999999999999</v>
      </c>
      <c r="FY14" s="18">
        <f>FX14/31.10348013</f>
        <v>7.4171764392848338E-2</v>
      </c>
      <c r="FZ14" s="17">
        <v>2.3639999999999999</v>
      </c>
      <c r="GA14" s="18">
        <f>FZ14/31.10348013</f>
        <v>7.6004356751059154E-2</v>
      </c>
      <c r="GB14" s="17">
        <v>2.1560000000000001</v>
      </c>
      <c r="GC14" s="18">
        <f>GB14/31.10348013</f>
        <v>6.9317002180746004E-2</v>
      </c>
      <c r="GD14" s="17">
        <v>2.3050000000000002</v>
      </c>
      <c r="GE14" s="18">
        <f>GD14/31.10348013</f>
        <v>7.4107462906595339E-2</v>
      </c>
      <c r="GF14" s="17">
        <v>2.3290000000000002</v>
      </c>
      <c r="GG14" s="18">
        <f>GF14/31.10348013</f>
        <v>7.4879080741631465E-2</v>
      </c>
      <c r="GH14" s="17">
        <v>2.1800000000000002</v>
      </c>
      <c r="GI14" s="18">
        <f>GH14/31.10348013</f>
        <v>7.0088620015782144E-2</v>
      </c>
      <c r="GJ14" s="17">
        <v>2.2080000000000002</v>
      </c>
      <c r="GK14" s="18">
        <f>GJ14/31.10348013</f>
        <v>7.0988840823324295E-2</v>
      </c>
      <c r="GL14" s="17">
        <v>2.1680000000000001</v>
      </c>
      <c r="GM14" s="18">
        <f>GL14/31.10348013</f>
        <v>6.9702811098264067E-2</v>
      </c>
      <c r="GN14" s="17">
        <v>2.1760000000000002</v>
      </c>
      <c r="GO14" s="18">
        <f>GN14/31.10348013</f>
        <v>6.9960017043276118E-2</v>
      </c>
      <c r="GP14" s="17">
        <v>1.9810000000000001</v>
      </c>
      <c r="GQ14" s="18">
        <f>GP14/31.10348013</f>
        <v>6.369062213360753E-2</v>
      </c>
      <c r="GR14" s="17">
        <v>2.1840000000000002</v>
      </c>
      <c r="GS14" s="18">
        <f>GR14/31.10348013</f>
        <v>7.0217222988288155E-2</v>
      </c>
      <c r="GT14" s="17">
        <v>1.9690000000000001</v>
      </c>
      <c r="GU14" s="18">
        <f>GT14/31.10348013</f>
        <v>6.3304813216089467E-2</v>
      </c>
      <c r="GV14" s="17">
        <v>2.0259999999999998</v>
      </c>
      <c r="GW14" s="18">
        <f>GV14/31.10348013</f>
        <v>6.5137405574300269E-2</v>
      </c>
      <c r="GX14" s="17">
        <v>2.39</v>
      </c>
      <c r="GY14" s="18">
        <f>GX14/31.10348013</f>
        <v>7.6840276072348307E-2</v>
      </c>
      <c r="GZ14" s="17">
        <v>2.867</v>
      </c>
      <c r="HA14" s="18">
        <f>GZ14/31.10348013</f>
        <v>9.2176180543691463E-2</v>
      </c>
      <c r="HB14" s="17">
        <v>2.1619999999999999</v>
      </c>
      <c r="HC14" s="18">
        <f>HB14/31.10348013</f>
        <v>6.9509906639505029E-2</v>
      </c>
      <c r="HD14" s="17">
        <v>2.827</v>
      </c>
      <c r="HE14" s="18">
        <f>HD14/31.10348013</f>
        <v>9.0890150818631235E-2</v>
      </c>
      <c r="HF14" s="17">
        <v>2.9780000000000002</v>
      </c>
      <c r="HG14" s="18">
        <f>HF14/31.10348013</f>
        <v>9.5744913030733583E-2</v>
      </c>
      <c r="HH14" s="17">
        <v>2.5830000000000002</v>
      </c>
      <c r="HI14" s="18">
        <f>HH14/31.10348013</f>
        <v>8.3045369495763882E-2</v>
      </c>
      <c r="HJ14" s="17">
        <v>2.0590000000000002</v>
      </c>
      <c r="HK14" s="18">
        <f>HJ14/31.10348013</f>
        <v>6.619838009747496E-2</v>
      </c>
      <c r="HL14" s="17">
        <v>2.1040000000000001</v>
      </c>
      <c r="HM14" s="18">
        <f>HL14/31.10348013</f>
        <v>6.7645163538167713E-2</v>
      </c>
      <c r="HN14" s="17">
        <v>2.169</v>
      </c>
      <c r="HO14" s="18">
        <f>HN14/31.10348013</f>
        <v>6.973496184139058E-2</v>
      </c>
      <c r="HP14" s="17">
        <v>2.2879999999999998</v>
      </c>
      <c r="HQ14" s="18">
        <f t="shared" ref="HQ14:HQ16" si="357">HP14/31.10348013</f>
        <v>7.3560900273444724E-2</v>
      </c>
      <c r="HR14" s="17">
        <v>2.0030000000000001</v>
      </c>
      <c r="HS14" s="18">
        <f t="shared" ref="HS14:HS16" si="358">HR14/31.10348013</f>
        <v>6.4397938482390657E-2</v>
      </c>
      <c r="HT14" s="17">
        <v>2.004</v>
      </c>
      <c r="HU14" s="18">
        <f t="shared" si="185"/>
        <v>6.4430089225517156E-2</v>
      </c>
      <c r="HV14" s="17">
        <v>2.0009999999999999</v>
      </c>
      <c r="HW14" s="18">
        <f t="shared" si="186"/>
        <v>6.433363699613763E-2</v>
      </c>
      <c r="HX14" s="17">
        <v>2.0129999999999999</v>
      </c>
      <c r="HY14" s="18">
        <f t="shared" si="187"/>
        <v>6.4719445913655707E-2</v>
      </c>
      <c r="HZ14" s="17">
        <v>2.0390000000000001</v>
      </c>
      <c r="IA14" s="18">
        <f t="shared" si="188"/>
        <v>6.555536523494486E-2</v>
      </c>
      <c r="IB14" s="17">
        <v>2.117</v>
      </c>
      <c r="IC14" s="18">
        <f t="shared" si="189"/>
        <v>6.8063123198812289E-2</v>
      </c>
      <c r="ID14" s="17">
        <v>2.0779999999999998</v>
      </c>
      <c r="IE14" s="18">
        <f t="shared" si="190"/>
        <v>6.6809244216878561E-2</v>
      </c>
      <c r="IF14" s="17">
        <v>2.0659999999999998</v>
      </c>
      <c r="IG14" s="18">
        <f t="shared" si="191"/>
        <v>6.6423435299360498E-2</v>
      </c>
      <c r="IH14" s="17">
        <v>2.0680000000000001</v>
      </c>
      <c r="II14" s="18">
        <f t="shared" si="192"/>
        <v>6.648773678561351E-2</v>
      </c>
      <c r="IJ14" s="17">
        <v>2.0739999999999998</v>
      </c>
      <c r="IK14" s="18">
        <f t="shared" si="193"/>
        <v>6.6680641244372535E-2</v>
      </c>
      <c r="IL14" s="17">
        <v>2.1309999999999998</v>
      </c>
      <c r="IM14" s="18">
        <f t="shared" si="194"/>
        <v>6.8513233602583351E-2</v>
      </c>
      <c r="IN14" s="17">
        <v>2.032</v>
      </c>
      <c r="IO14" s="18">
        <f t="shared" si="195"/>
        <v>6.5330310033059308E-2</v>
      </c>
      <c r="IP14" s="17">
        <v>2.0310000000000001</v>
      </c>
      <c r="IQ14" s="18">
        <f t="shared" si="196"/>
        <v>6.5298159289932808E-2</v>
      </c>
      <c r="IR14" s="17">
        <v>2.0129999999999999</v>
      </c>
      <c r="IS14" s="18">
        <f t="shared" si="197"/>
        <v>6.4719445913655707E-2</v>
      </c>
      <c r="IT14" s="17">
        <v>2.04</v>
      </c>
      <c r="IU14" s="18">
        <f t="shared" si="198"/>
        <v>6.5587515978071359E-2</v>
      </c>
      <c r="IV14" s="17">
        <v>2.0129999999999999</v>
      </c>
      <c r="IW14" s="18">
        <f t="shared" si="199"/>
        <v>6.4719445913655707E-2</v>
      </c>
      <c r="IX14" s="17">
        <v>2.1440000000000001</v>
      </c>
      <c r="IY14" s="18">
        <f t="shared" si="200"/>
        <v>6.8931193263227941E-2</v>
      </c>
      <c r="IZ14" s="17">
        <v>2.3860000000000001</v>
      </c>
      <c r="JA14" s="18">
        <f t="shared" si="201"/>
        <v>7.6711673099842281E-2</v>
      </c>
      <c r="JB14" s="17">
        <v>2.29</v>
      </c>
      <c r="JC14" s="18">
        <f t="shared" si="202"/>
        <v>7.362520175969775E-2</v>
      </c>
      <c r="JD14" s="17">
        <v>2.1160000000000001</v>
      </c>
      <c r="JE14" s="18">
        <f t="shared" si="203"/>
        <v>6.8030972455685776E-2</v>
      </c>
      <c r="JF14" s="17">
        <v>2.2519999999999998</v>
      </c>
      <c r="JG14" s="18">
        <f t="shared" si="204"/>
        <v>7.2403473520890535E-2</v>
      </c>
      <c r="JH14" s="17">
        <v>2.1720000000000002</v>
      </c>
      <c r="JI14" s="18">
        <f t="shared" si="205"/>
        <v>6.9831414070770093E-2</v>
      </c>
      <c r="JJ14" s="17">
        <v>2.0960000000000001</v>
      </c>
      <c r="JK14" s="18">
        <f t="shared" si="206"/>
        <v>6.7387957593155676E-2</v>
      </c>
      <c r="JL14" s="17">
        <v>2.0459999999999998</v>
      </c>
      <c r="JM14" s="18">
        <f t="shared" si="207"/>
        <v>6.5780420436830384E-2</v>
      </c>
      <c r="JN14" s="17">
        <v>2.1760000000000002</v>
      </c>
      <c r="JO14" s="18">
        <f t="shared" si="208"/>
        <v>6.9960017043276118E-2</v>
      </c>
      <c r="JP14" s="17">
        <v>1.9279999999999999</v>
      </c>
      <c r="JQ14" s="18">
        <f t="shared" si="209"/>
        <v>6.1986632747902733E-2</v>
      </c>
      <c r="JR14" s="18">
        <v>2.0499999999999998</v>
      </c>
      <c r="JS14" s="18">
        <f t="shared" si="210"/>
        <v>6.5909023409336409E-2</v>
      </c>
      <c r="JT14" s="17">
        <v>2.6059999999999999</v>
      </c>
      <c r="JU14" s="18">
        <f t="shared" si="211"/>
        <v>8.3784836587673509E-2</v>
      </c>
      <c r="JV14" s="17">
        <v>2.7349999999999999</v>
      </c>
      <c r="JW14" s="18">
        <f t="shared" si="212"/>
        <v>8.7932282450992716E-2</v>
      </c>
      <c r="JX14" s="17">
        <v>2.645</v>
      </c>
      <c r="JY14" s="18">
        <f t="shared" si="213"/>
        <v>8.5038715569607223E-2</v>
      </c>
      <c r="JZ14" s="18">
        <v>2.41</v>
      </c>
      <c r="KA14" s="18">
        <f t="shared" si="214"/>
        <v>7.7483290934878421E-2</v>
      </c>
      <c r="KB14" s="19">
        <v>2.14</v>
      </c>
      <c r="KC14" s="18">
        <f t="shared" si="215"/>
        <v>6.8802590290721916E-2</v>
      </c>
      <c r="KD14" s="18">
        <v>2.0550000000000002</v>
      </c>
      <c r="KE14" s="18">
        <f t="shared" si="216"/>
        <v>6.6069777124968948E-2</v>
      </c>
      <c r="KF14" s="17">
        <v>2.0099999999999998</v>
      </c>
      <c r="KG14" s="18">
        <f t="shared" si="217"/>
        <v>6.4622993684276181E-2</v>
      </c>
      <c r="KH14" s="17">
        <v>2.2389999999999999</v>
      </c>
      <c r="KI14" s="18">
        <f t="shared" si="218"/>
        <v>7.1985513860245959E-2</v>
      </c>
      <c r="KJ14" s="17">
        <v>2.1349999999999998</v>
      </c>
      <c r="KK14" s="18">
        <f t="shared" si="219"/>
        <v>6.8641836575089377E-2</v>
      </c>
      <c r="KL14" s="17">
        <v>2.19</v>
      </c>
      <c r="KM14" s="18">
        <f t="shared" si="220"/>
        <v>7.0410127447047194E-2</v>
      </c>
      <c r="KN14" s="17">
        <v>2.0449999999999999</v>
      </c>
      <c r="KO14" s="18">
        <f t="shared" si="221"/>
        <v>6.5748269693703884E-2</v>
      </c>
      <c r="KP14" s="17">
        <v>2.226</v>
      </c>
      <c r="KQ14" s="18">
        <f t="shared" si="222"/>
        <v>7.1567554199601396E-2</v>
      </c>
      <c r="KR14" s="17">
        <v>2.5049999999999999</v>
      </c>
      <c r="KS14" s="18">
        <f t="shared" si="223"/>
        <v>8.0537611531896439E-2</v>
      </c>
      <c r="KT14" s="17">
        <v>2.8279999999999998</v>
      </c>
      <c r="KU14" s="18">
        <f t="shared" si="224"/>
        <v>9.0922301561757735E-2</v>
      </c>
      <c r="KV14" s="17">
        <v>2.8860000000000001</v>
      </c>
      <c r="KW14" s="18">
        <f t="shared" si="225"/>
        <v>9.2787044663095064E-2</v>
      </c>
      <c r="KX14" s="17">
        <v>2.2599999999999998</v>
      </c>
      <c r="KY14" s="18">
        <f t="shared" si="226"/>
        <v>7.2660679465902572E-2</v>
      </c>
      <c r="KZ14" s="17">
        <v>2.379</v>
      </c>
      <c r="LA14" s="18">
        <f t="shared" si="227"/>
        <v>7.6486617897956743E-2</v>
      </c>
      <c r="LB14" s="17">
        <v>2.2389999999999999</v>
      </c>
      <c r="LC14" s="18">
        <f t="shared" si="228"/>
        <v>7.1985513860245959E-2</v>
      </c>
      <c r="LD14" s="17">
        <v>2.0179999999999998</v>
      </c>
      <c r="LE14" s="18">
        <f t="shared" si="229"/>
        <v>6.4880199629288232E-2</v>
      </c>
      <c r="LF14" s="17">
        <v>2.0110000000000001</v>
      </c>
      <c r="LG14" s="18">
        <f t="shared" si="230"/>
        <v>6.4655144427402694E-2</v>
      </c>
      <c r="LH14" s="17">
        <v>2.0510000000000002</v>
      </c>
      <c r="LI14" s="18">
        <f t="shared" si="231"/>
        <v>6.5941174152462922E-2</v>
      </c>
      <c r="LJ14" s="17">
        <v>2.2229999999999999</v>
      </c>
      <c r="LK14" s="18">
        <f t="shared" si="232"/>
        <v>7.147110197022187E-2</v>
      </c>
      <c r="LL14" s="17">
        <v>2.048</v>
      </c>
      <c r="LM14" s="18">
        <f t="shared" si="233"/>
        <v>6.5844721923083396E-2</v>
      </c>
      <c r="LN14" s="17">
        <v>2.1659999999999999</v>
      </c>
      <c r="LO14" s="18">
        <f t="shared" si="234"/>
        <v>6.9638509612011054E-2</v>
      </c>
      <c r="LP14" s="17">
        <v>2.2250000000000001</v>
      </c>
      <c r="LQ14" s="18">
        <f t="shared" si="235"/>
        <v>7.1535403456474883E-2</v>
      </c>
      <c r="LR14" s="17">
        <v>2.4430000000000001</v>
      </c>
      <c r="LS14" s="18">
        <f t="shared" si="236"/>
        <v>7.8544265458053097E-2</v>
      </c>
      <c r="LT14" s="17">
        <v>2.6269999999999998</v>
      </c>
      <c r="LU14" s="18">
        <f t="shared" si="237"/>
        <v>8.4460002193330122E-2</v>
      </c>
      <c r="LV14" s="17">
        <v>2.827</v>
      </c>
      <c r="LW14" s="18">
        <f t="shared" si="238"/>
        <v>9.0890150818631235E-2</v>
      </c>
      <c r="LX14" s="17">
        <v>2.4950000000000001</v>
      </c>
      <c r="LY14" s="18">
        <f t="shared" si="239"/>
        <v>8.0216104100631389E-2</v>
      </c>
      <c r="LZ14" s="17">
        <v>2.0459999999999998</v>
      </c>
      <c r="MA14" s="18">
        <f t="shared" si="240"/>
        <v>6.5780420436830384E-2</v>
      </c>
      <c r="MB14" s="17">
        <v>2.1240000000000001</v>
      </c>
      <c r="MC14" s="18">
        <f t="shared" si="241"/>
        <v>6.8288178400697827E-2</v>
      </c>
      <c r="MD14" s="17">
        <v>2.0089999999999999</v>
      </c>
      <c r="ME14" s="18">
        <f t="shared" si="242"/>
        <v>6.4590842941149681E-2</v>
      </c>
      <c r="MF14" s="17">
        <v>1.98</v>
      </c>
      <c r="MG14" s="18">
        <f t="shared" si="243"/>
        <v>6.3658471390481017E-2</v>
      </c>
      <c r="MH14" s="17">
        <v>2.048</v>
      </c>
      <c r="MI14" s="18">
        <f t="shared" si="244"/>
        <v>6.5844721923083396E-2</v>
      </c>
      <c r="MJ14" s="17">
        <v>1.9970000000000001</v>
      </c>
      <c r="MK14" s="18">
        <f t="shared" si="245"/>
        <v>6.4205034023631619E-2</v>
      </c>
      <c r="ML14" s="17">
        <v>1.9870000000000001</v>
      </c>
      <c r="MM14" s="18">
        <f t="shared" si="246"/>
        <v>6.3883526592366568E-2</v>
      </c>
      <c r="MN14" s="17">
        <v>1.9510000000000001</v>
      </c>
      <c r="MO14" s="18">
        <f t="shared" si="247"/>
        <v>6.2726099839812366E-2</v>
      </c>
      <c r="MP14" s="17">
        <v>2.1040000000000001</v>
      </c>
      <c r="MQ14" s="18">
        <f t="shared" si="248"/>
        <v>6.7645163538167713E-2</v>
      </c>
      <c r="MR14" s="17">
        <v>2.7690000000000001</v>
      </c>
      <c r="MS14" s="18">
        <f t="shared" si="249"/>
        <v>8.902540771729392E-2</v>
      </c>
      <c r="MT14" s="17">
        <v>2.1640000000000001</v>
      </c>
      <c r="MU14" s="18">
        <f t="shared" si="250"/>
        <v>6.9574208125758055E-2</v>
      </c>
      <c r="MV14" s="17">
        <v>2.048</v>
      </c>
      <c r="MW14" s="18">
        <f t="shared" si="251"/>
        <v>6.5844721923083396E-2</v>
      </c>
      <c r="MX14" s="17">
        <v>2.012</v>
      </c>
      <c r="MY14" s="18">
        <f t="shared" si="252"/>
        <v>6.4687295170529194E-2</v>
      </c>
      <c r="MZ14" s="17">
        <v>1.964</v>
      </c>
      <c r="NA14" s="18">
        <f t="shared" si="253"/>
        <v>6.3144059500456928E-2</v>
      </c>
      <c r="NB14" s="17">
        <v>2.0019999999999998</v>
      </c>
      <c r="NC14" s="18">
        <f t="shared" si="254"/>
        <v>6.4365787739264144E-2</v>
      </c>
      <c r="ND14" s="17">
        <v>2.2160000000000002</v>
      </c>
      <c r="NE14" s="18">
        <f t="shared" si="255"/>
        <v>7.1246046768336346E-2</v>
      </c>
      <c r="NF14" s="17">
        <v>2.931</v>
      </c>
      <c r="NG14" s="18">
        <f t="shared" si="256"/>
        <v>9.4233828103787817E-2</v>
      </c>
      <c r="NH14" s="17">
        <v>2.363</v>
      </c>
      <c r="NI14" s="18">
        <f t="shared" si="257"/>
        <v>7.5972206007932655E-2</v>
      </c>
      <c r="NJ14" s="17">
        <v>2.117</v>
      </c>
      <c r="NK14" s="18">
        <f t="shared" si="258"/>
        <v>6.8063123198812289E-2</v>
      </c>
      <c r="NL14" s="17">
        <v>2.2709999999999999</v>
      </c>
      <c r="NM14" s="18">
        <f t="shared" si="259"/>
        <v>7.3014337640294136E-2</v>
      </c>
      <c r="NN14" s="17">
        <v>2.1459999999999999</v>
      </c>
      <c r="NO14" s="18">
        <f t="shared" si="260"/>
        <v>6.899549474948094E-2</v>
      </c>
      <c r="NP14" s="17">
        <v>2.306</v>
      </c>
      <c r="NQ14" s="18">
        <f t="shared" si="261"/>
        <v>7.4139613649721839E-2</v>
      </c>
      <c r="NR14" s="17">
        <v>2.1539999999999999</v>
      </c>
      <c r="NS14" s="18">
        <f t="shared" si="262"/>
        <v>6.9252700694492991E-2</v>
      </c>
      <c r="NT14" s="17">
        <v>2.1850000000000001</v>
      </c>
      <c r="NU14" s="18">
        <f t="shared" si="263"/>
        <v>7.0249373731414669E-2</v>
      </c>
      <c r="NV14" s="17">
        <v>2.1560000000000001</v>
      </c>
      <c r="NW14" s="18">
        <f t="shared" si="264"/>
        <v>6.9317002180746004E-2</v>
      </c>
      <c r="NX14" s="17">
        <v>2.1739999999999999</v>
      </c>
      <c r="NY14" s="18">
        <f t="shared" si="265"/>
        <v>6.9895715557023105E-2</v>
      </c>
      <c r="NZ14" s="17">
        <v>2.1040000000000001</v>
      </c>
      <c r="OA14" s="18">
        <f t="shared" si="266"/>
        <v>6.7645163538167713E-2</v>
      </c>
      <c r="OB14" s="17">
        <v>2.0739999999999998</v>
      </c>
      <c r="OC14" s="18">
        <f t="shared" si="267"/>
        <v>6.6680641244372535E-2</v>
      </c>
      <c r="OD14" s="17">
        <v>2.2210000000000001</v>
      </c>
      <c r="OE14" s="18">
        <f t="shared" si="268"/>
        <v>7.1406800483968871E-2</v>
      </c>
      <c r="OF14" s="17">
        <v>2.0019999999999998</v>
      </c>
      <c r="OG14" s="18">
        <f t="shared" si="269"/>
        <v>6.4365787739264144E-2</v>
      </c>
      <c r="OH14" s="17">
        <v>2.0720000000000001</v>
      </c>
      <c r="OI14" s="18">
        <f t="shared" si="270"/>
        <v>6.6616339758119536E-2</v>
      </c>
      <c r="OJ14" s="17">
        <v>2.0670000000000002</v>
      </c>
      <c r="OK14" s="18">
        <f t="shared" si="271"/>
        <v>6.6455586042487011E-2</v>
      </c>
      <c r="OL14" s="17">
        <v>2.2389999999999999</v>
      </c>
      <c r="OM14" s="18">
        <f t="shared" si="272"/>
        <v>7.1985513860245959E-2</v>
      </c>
      <c r="ON14" s="17">
        <v>2.847</v>
      </c>
      <c r="OO14" s="18">
        <f t="shared" si="273"/>
        <v>9.1533165681161349E-2</v>
      </c>
      <c r="OP14" s="17">
        <v>2.2080000000000002</v>
      </c>
      <c r="OQ14" s="18">
        <f t="shared" si="274"/>
        <v>7.0988840823324295E-2</v>
      </c>
      <c r="OR14" s="17">
        <v>2.456</v>
      </c>
      <c r="OS14" s="18">
        <f t="shared" si="275"/>
        <v>7.8962225118697674E-2</v>
      </c>
      <c r="OT14" s="17">
        <v>2.2309999999999999</v>
      </c>
      <c r="OU14" s="18">
        <f t="shared" si="276"/>
        <v>7.1728307915233908E-2</v>
      </c>
      <c r="OV14" s="17">
        <v>2.1659999999999999</v>
      </c>
      <c r="OW14" s="18">
        <f t="shared" si="277"/>
        <v>6.9638509612011054E-2</v>
      </c>
      <c r="OX14" s="17">
        <v>2.093</v>
      </c>
      <c r="OY14" s="18">
        <f t="shared" si="278"/>
        <v>6.729150536377615E-2</v>
      </c>
      <c r="OZ14" s="17">
        <v>2.2080000000000002</v>
      </c>
      <c r="PA14" s="18">
        <f t="shared" si="279"/>
        <v>7.0988840823324295E-2</v>
      </c>
      <c r="PB14" s="17">
        <v>2.2749999999999999</v>
      </c>
      <c r="PC14" s="18">
        <f t="shared" si="280"/>
        <v>7.3142940612800161E-2</v>
      </c>
      <c r="PD14" s="17">
        <v>2.1</v>
      </c>
      <c r="PE14" s="18">
        <f t="shared" si="281"/>
        <v>6.7516560565661687E-2</v>
      </c>
      <c r="PF14" s="17">
        <v>2.1640000000000001</v>
      </c>
      <c r="PG14" s="18">
        <f t="shared" si="282"/>
        <v>6.9574208125758055E-2</v>
      </c>
      <c r="PH14" s="17">
        <v>2.14</v>
      </c>
      <c r="PI14" s="18">
        <f t="shared" si="283"/>
        <v>6.8802590290721916E-2</v>
      </c>
      <c r="PJ14" s="17">
        <v>2.0529999999999999</v>
      </c>
      <c r="PK14" s="18">
        <f t="shared" si="284"/>
        <v>6.6005475638715921E-2</v>
      </c>
      <c r="PL14" s="17">
        <v>2.0920000000000001</v>
      </c>
      <c r="PM14" s="18">
        <f t="shared" si="285"/>
        <v>6.725935462064965E-2</v>
      </c>
      <c r="PN14" s="17">
        <v>2.2130000000000001</v>
      </c>
      <c r="PO14" s="18">
        <f t="shared" si="286"/>
        <v>7.114959453895682E-2</v>
      </c>
      <c r="PP14" s="17">
        <v>2.3490000000000002</v>
      </c>
      <c r="PQ14" s="18">
        <f t="shared" si="287"/>
        <v>7.5522095604161579E-2</v>
      </c>
      <c r="PR14" s="17">
        <v>2.1230000000000002</v>
      </c>
      <c r="PS14" s="18">
        <f t="shared" si="288"/>
        <v>6.8256027657571328E-2</v>
      </c>
      <c r="PT14" s="17">
        <v>2.0529999999999999</v>
      </c>
      <c r="PU14" s="18">
        <f t="shared" si="289"/>
        <v>6.6005475638715921E-2</v>
      </c>
      <c r="PV14" s="17">
        <v>2.2930000000000001</v>
      </c>
      <c r="PW14" s="18">
        <f t="shared" si="290"/>
        <v>7.3721653989077263E-2</v>
      </c>
      <c r="PX14" s="17">
        <v>2.0179999999999998</v>
      </c>
      <c r="PY14" s="18">
        <f t="shared" si="291"/>
        <v>6.4880199629288232E-2</v>
      </c>
      <c r="PZ14" s="17">
        <v>1.9039999999999999</v>
      </c>
      <c r="QA14" s="18">
        <f t="shared" si="292"/>
        <v>6.1215014912866593E-2</v>
      </c>
      <c r="QB14" s="17">
        <v>1.9059999999999999</v>
      </c>
      <c r="QC14" s="18">
        <f t="shared" si="293"/>
        <v>6.1279316399119606E-2</v>
      </c>
      <c r="QD14" s="17">
        <v>1.9910000000000001</v>
      </c>
      <c r="QE14" s="18">
        <f t="shared" si="294"/>
        <v>6.401212956487258E-2</v>
      </c>
      <c r="QF14" s="17">
        <v>2.0169999999999999</v>
      </c>
      <c r="QG14" s="18">
        <f t="shared" si="295"/>
        <v>6.4848048886161719E-2</v>
      </c>
      <c r="QH14" s="17">
        <v>1.869</v>
      </c>
      <c r="QI14" s="18">
        <f t="shared" si="296"/>
        <v>6.0089738903438904E-2</v>
      </c>
      <c r="QJ14" s="17">
        <v>2.0579999999999998</v>
      </c>
      <c r="QK14" s="18">
        <f t="shared" si="297"/>
        <v>6.6166229354348446E-2</v>
      </c>
      <c r="QL14" s="17">
        <v>1.9510000000000001</v>
      </c>
      <c r="QM14" s="18">
        <f t="shared" si="298"/>
        <v>6.2726099839812366E-2</v>
      </c>
      <c r="QN14" s="17">
        <v>2.2309999999999999</v>
      </c>
      <c r="QO14" s="18">
        <f t="shared" si="299"/>
        <v>7.1728307915233908E-2</v>
      </c>
      <c r="QP14" s="17">
        <v>1.8220000000000001</v>
      </c>
      <c r="QQ14" s="18">
        <f t="shared" si="300"/>
        <v>5.8578653976493145E-2</v>
      </c>
      <c r="QR14" s="17">
        <v>1.718</v>
      </c>
      <c r="QS14" s="18">
        <f t="shared" si="301"/>
        <v>5.5234976691336563E-2</v>
      </c>
      <c r="QT14" s="17">
        <v>1.7090000000000001</v>
      </c>
      <c r="QU14" s="18">
        <f t="shared" si="302"/>
        <v>5.4945620003198019E-2</v>
      </c>
      <c r="QV14" s="17">
        <v>1.798</v>
      </c>
      <c r="QW14" s="18">
        <f t="shared" si="303"/>
        <v>5.7807036141457012E-2</v>
      </c>
      <c r="QX14" s="17">
        <v>1.7150000000000001</v>
      </c>
      <c r="QY14" s="18">
        <f t="shared" si="304"/>
        <v>5.513852446195705E-2</v>
      </c>
      <c r="QZ14" s="17">
        <v>1.32</v>
      </c>
      <c r="RA14" s="18">
        <f t="shared" si="305"/>
        <v>4.2438980926987349E-2</v>
      </c>
      <c r="RB14" s="17">
        <v>1.629</v>
      </c>
      <c r="RC14" s="18">
        <f t="shared" si="306"/>
        <v>5.2373560553077569E-2</v>
      </c>
      <c r="RD14" s="17">
        <v>1.605</v>
      </c>
      <c r="RE14" s="18">
        <f t="shared" si="307"/>
        <v>5.1601942718041437E-2</v>
      </c>
      <c r="RF14" s="17">
        <v>1.532</v>
      </c>
      <c r="RG14" s="18">
        <f t="shared" si="308"/>
        <v>4.9254938469806532E-2</v>
      </c>
      <c r="RH14" s="17">
        <v>1.855</v>
      </c>
      <c r="RI14" s="18">
        <f t="shared" si="309"/>
        <v>5.9639628499667828E-2</v>
      </c>
      <c r="RJ14" s="17">
        <v>1.9950000000000001</v>
      </c>
      <c r="RK14" s="18">
        <f t="shared" si="310"/>
        <v>6.4140732537378606E-2</v>
      </c>
      <c r="RL14" s="17">
        <v>2.1070000000000002</v>
      </c>
      <c r="RM14" s="18">
        <f t="shared" si="311"/>
        <v>6.7741615767547239E-2</v>
      </c>
      <c r="RN14" s="17">
        <v>2.1419999999999999</v>
      </c>
      <c r="RO14" s="18">
        <f t="shared" si="312"/>
        <v>6.8866891776974914E-2</v>
      </c>
      <c r="RP14" s="17">
        <v>1.946</v>
      </c>
      <c r="RQ14" s="18">
        <f t="shared" si="313"/>
        <v>6.2565346124179827E-2</v>
      </c>
      <c r="RR14" s="17">
        <v>2.0110000000000001</v>
      </c>
      <c r="RS14" s="18">
        <f t="shared" si="314"/>
        <v>6.4655144427402694E-2</v>
      </c>
      <c r="RT14" s="17">
        <v>2.8119999999999998</v>
      </c>
      <c r="RU14" s="18">
        <f t="shared" si="315"/>
        <v>9.0407889671733646E-2</v>
      </c>
      <c r="RV14" s="17">
        <v>2.4849999999999999</v>
      </c>
      <c r="RW14" s="18">
        <f t="shared" si="316"/>
        <v>7.9894596669366325E-2</v>
      </c>
      <c r="RX14" s="17">
        <v>2.4039999999999999</v>
      </c>
      <c r="RY14" s="18">
        <f t="shared" si="317"/>
        <v>7.7290386476119383E-2</v>
      </c>
      <c r="RZ14" s="17">
        <v>2.9380000000000002</v>
      </c>
      <c r="SA14" s="18">
        <f t="shared" si="318"/>
        <v>9.4458883305673355E-2</v>
      </c>
      <c r="SB14" s="17">
        <v>2.1469999999999998</v>
      </c>
      <c r="SC14" s="18">
        <f t="shared" si="319"/>
        <v>6.902764549260744E-2</v>
      </c>
      <c r="SD14" s="17">
        <v>2.165</v>
      </c>
      <c r="SE14" s="18">
        <f t="shared" si="320"/>
        <v>6.9606358868884555E-2</v>
      </c>
      <c r="SF14" s="17">
        <v>2.302</v>
      </c>
      <c r="SG14" s="18">
        <f t="shared" si="321"/>
        <v>7.4011010677215813E-2</v>
      </c>
      <c r="SH14" s="17">
        <v>2.3650000000000002</v>
      </c>
      <c r="SI14" s="18">
        <f t="shared" si="322"/>
        <v>7.6036507494185668E-2</v>
      </c>
      <c r="SJ14" s="17">
        <v>2.4350000000000001</v>
      </c>
      <c r="SK14" s="18">
        <f t="shared" si="323"/>
        <v>7.828705951304106E-2</v>
      </c>
      <c r="SL14" s="17">
        <v>2.3559999999999999</v>
      </c>
      <c r="SM14" s="18">
        <f t="shared" si="324"/>
        <v>7.5747150806047117E-2</v>
      </c>
      <c r="SN14" s="17">
        <v>1.839</v>
      </c>
      <c r="SO14" s="18">
        <f t="shared" si="325"/>
        <v>5.9125216609643733E-2</v>
      </c>
      <c r="SP14" s="17">
        <v>1.738</v>
      </c>
      <c r="SQ14" s="18">
        <f t="shared" si="326"/>
        <v>5.5877991553866677E-2</v>
      </c>
      <c r="SR14" s="17">
        <v>1.9570000000000001</v>
      </c>
      <c r="SS14" s="18">
        <f t="shared" si="327"/>
        <v>6.291900429857139E-2</v>
      </c>
      <c r="ST14" s="17">
        <v>1.8919999999999999</v>
      </c>
      <c r="SU14" s="18">
        <f t="shared" si="328"/>
        <v>6.082920599534853E-2</v>
      </c>
      <c r="SV14" s="17">
        <v>1.9870000000000001</v>
      </c>
      <c r="SW14" s="18">
        <f t="shared" si="329"/>
        <v>6.3883526592366568E-2</v>
      </c>
      <c r="SX14" s="17">
        <v>2.4020000000000001</v>
      </c>
      <c r="SY14" s="18">
        <f t="shared" si="330"/>
        <v>7.722608498986637E-2</v>
      </c>
      <c r="SZ14" s="17">
        <v>2.149</v>
      </c>
      <c r="TA14" s="18">
        <f t="shared" si="331"/>
        <v>6.9091946978860466E-2</v>
      </c>
      <c r="TB14" s="17">
        <v>2.2170000000000001</v>
      </c>
      <c r="TC14" s="18">
        <f t="shared" si="332"/>
        <v>7.1278197511462846E-2</v>
      </c>
      <c r="TD14" s="17">
        <v>1.9119999999999999</v>
      </c>
      <c r="TE14" s="18">
        <f t="shared" si="333"/>
        <v>6.1472220857878637E-2</v>
      </c>
      <c r="TF14" s="17">
        <v>2.0419999999999998</v>
      </c>
      <c r="TG14" s="18">
        <f t="shared" si="334"/>
        <v>6.5651817464324358E-2</v>
      </c>
      <c r="TH14" s="17">
        <v>2.0339999999999998</v>
      </c>
      <c r="TI14" s="18">
        <f t="shared" si="335"/>
        <v>6.5394611519312321E-2</v>
      </c>
      <c r="TJ14" s="17">
        <v>1.7070000000000001</v>
      </c>
      <c r="TK14" s="18">
        <f t="shared" si="336"/>
        <v>5.4881318516945006E-2</v>
      </c>
      <c r="TL14" s="17">
        <v>1.726</v>
      </c>
      <c r="TM14" s="18">
        <f t="shared" si="337"/>
        <v>5.5492182636348607E-2</v>
      </c>
      <c r="TN14" s="17">
        <v>2.165</v>
      </c>
      <c r="TO14" s="18">
        <f t="shared" si="338"/>
        <v>6.9606358868884555E-2</v>
      </c>
      <c r="TP14" s="17">
        <v>2.2480000000000002</v>
      </c>
      <c r="TQ14" s="18">
        <f t="shared" si="339"/>
        <v>7.2274870548384523E-2</v>
      </c>
      <c r="TR14" s="17">
        <v>2.4900000000000002</v>
      </c>
      <c r="TS14" s="18">
        <f t="shared" si="340"/>
        <v>8.0055350384998863E-2</v>
      </c>
      <c r="TT14" s="17">
        <v>2.0179999999999998</v>
      </c>
      <c r="TU14" s="2">
        <f t="shared" si="341"/>
        <v>6.4880199629288232E-2</v>
      </c>
      <c r="TV14" s="18">
        <v>2.218</v>
      </c>
      <c r="TW14" s="18">
        <f t="shared" si="342"/>
        <v>7.1310348254589345E-2</v>
      </c>
      <c r="TX14" s="17"/>
      <c r="TY14" s="18">
        <f t="shared" si="343"/>
        <v>0</v>
      </c>
      <c r="TZ14" s="17"/>
      <c r="UA14" s="2">
        <f t="shared" si="344"/>
        <v>0</v>
      </c>
      <c r="UB14" s="17"/>
      <c r="UC14" s="18">
        <f t="shared" si="345"/>
        <v>0</v>
      </c>
      <c r="UD14" s="17"/>
      <c r="UE14" s="18">
        <f t="shared" si="346"/>
        <v>0</v>
      </c>
      <c r="UF14" s="17"/>
      <c r="UG14" s="2">
        <f t="shared" si="347"/>
        <v>0</v>
      </c>
      <c r="UH14" s="17"/>
      <c r="UI14" s="18">
        <f t="shared" si="348"/>
        <v>0</v>
      </c>
      <c r="UJ14" s="17"/>
      <c r="UK14" s="18">
        <f t="shared" si="349"/>
        <v>0</v>
      </c>
      <c r="UL14" s="17"/>
      <c r="UM14" s="2">
        <f t="shared" si="350"/>
        <v>0</v>
      </c>
      <c r="UN14" s="17"/>
      <c r="UO14" s="18">
        <f t="shared" si="351"/>
        <v>0</v>
      </c>
      <c r="UP14" s="17"/>
      <c r="UQ14" s="18">
        <f t="shared" si="352"/>
        <v>0</v>
      </c>
      <c r="UR14" s="17"/>
      <c r="US14" s="2">
        <f t="shared" si="353"/>
        <v>0</v>
      </c>
      <c r="UT14" s="17"/>
      <c r="UU14" s="18">
        <f t="shared" si="354"/>
        <v>0</v>
      </c>
      <c r="UV14" s="17"/>
      <c r="UW14" s="18">
        <f t="shared" si="355"/>
        <v>0</v>
      </c>
      <c r="UX14" s="17"/>
      <c r="UY14" s="2">
        <f t="shared" si="356"/>
        <v>0</v>
      </c>
    </row>
    <row r="15" spans="2:587" x14ac:dyDescent="0.2">
      <c r="B15" s="44"/>
      <c r="C15" s="23" t="s">
        <v>9</v>
      </c>
      <c r="D15" s="17">
        <v>152.00899999999999</v>
      </c>
      <c r="E15" s="17">
        <v>4.8869999999999996</v>
      </c>
      <c r="F15" s="17">
        <v>153.88200000000001</v>
      </c>
      <c r="G15" s="22">
        <v>4.9470000000000001</v>
      </c>
      <c r="H15" s="17">
        <v>102.01</v>
      </c>
      <c r="I15" s="18">
        <f>H15/31.10348013</f>
        <v>3.2796973063348331</v>
      </c>
      <c r="J15" s="17">
        <v>106.17100000000001</v>
      </c>
      <c r="K15" s="18">
        <f>J15/31.10348013</f>
        <v>3.4134765484842227</v>
      </c>
      <c r="L15" s="17">
        <v>135.714</v>
      </c>
      <c r="M15" s="18">
        <f>L15/31.10348013</f>
        <v>4.3633059526705766</v>
      </c>
      <c r="N15" s="17">
        <v>105.746</v>
      </c>
      <c r="O15" s="18">
        <f>N15/31.10348013</f>
        <v>3.3998124826554577</v>
      </c>
      <c r="P15" s="18">
        <v>103.599</v>
      </c>
      <c r="Q15" s="18">
        <f>P15/31.10348013</f>
        <v>3.3307848371628501</v>
      </c>
      <c r="R15" s="17">
        <v>148.46899999999999</v>
      </c>
      <c r="S15" s="18">
        <f>R15/31.10348013</f>
        <v>4.7733886812491546</v>
      </c>
      <c r="T15" s="17">
        <v>123.679</v>
      </c>
      <c r="U15" s="18">
        <f>T15/31.10348013</f>
        <v>3.9763717591430821</v>
      </c>
      <c r="V15" s="17">
        <v>125.76300000000001</v>
      </c>
      <c r="W15" s="18">
        <f>V15/31.10348013</f>
        <v>4.0433739078187196</v>
      </c>
      <c r="X15" s="17">
        <v>117.066</v>
      </c>
      <c r="Y15" s="18">
        <f>X15/31.10348013</f>
        <v>3.7637588948475007</v>
      </c>
      <c r="Z15" s="17">
        <v>156.547</v>
      </c>
      <c r="AA15" s="18">
        <f>Z15/31.10348013</f>
        <v>5.0331023842250664</v>
      </c>
      <c r="AB15" s="17">
        <v>94.292000000000002</v>
      </c>
      <c r="AC15" s="18">
        <f>AB15/31.10348013</f>
        <v>3.031557870884463</v>
      </c>
      <c r="AD15" s="17">
        <v>122.751</v>
      </c>
      <c r="AE15" s="18">
        <f>AD15/31.10348013</f>
        <v>3.9465358695216848</v>
      </c>
      <c r="AF15" s="17">
        <v>140.864</v>
      </c>
      <c r="AG15" s="18">
        <f>AF15/31.10348013</f>
        <v>4.5288822797720805</v>
      </c>
      <c r="AH15" s="17">
        <v>154.47300000000001</v>
      </c>
      <c r="AI15" s="18">
        <f>AH15/31.10348013</f>
        <v>4.9664217429806952</v>
      </c>
      <c r="AJ15" s="17">
        <v>131.858</v>
      </c>
      <c r="AK15" s="18">
        <f>AJ15/31.10348013</f>
        <v>4.2393326871747714</v>
      </c>
      <c r="AL15" s="17">
        <v>136.42599999999999</v>
      </c>
      <c r="AM15" s="18">
        <f>AL15/31.10348013</f>
        <v>4.3861972817766484</v>
      </c>
      <c r="AN15" s="17">
        <v>100.04300000000001</v>
      </c>
      <c r="AO15" s="18">
        <f>AN15/31.10348013</f>
        <v>3.2164567946049964</v>
      </c>
      <c r="AP15" s="17">
        <v>155.64099999999999</v>
      </c>
      <c r="AQ15" s="18">
        <f>AP15/31.10348013</f>
        <v>5.003973810952453</v>
      </c>
      <c r="AR15" s="17">
        <v>122.751</v>
      </c>
      <c r="AS15" s="18">
        <f>AR15/31.10348013</f>
        <v>3.9465358695216848</v>
      </c>
      <c r="AT15" s="18">
        <v>151.34299999999999</v>
      </c>
      <c r="AU15" s="18">
        <f>AT15/31.10348013</f>
        <v>4.8657899169947312</v>
      </c>
      <c r="AV15" s="17">
        <v>156.88200000000001</v>
      </c>
      <c r="AW15" s="18">
        <f>AV15/31.10348013</f>
        <v>5.0438728831724466</v>
      </c>
      <c r="AX15" s="18">
        <v>100.95399999999999</v>
      </c>
      <c r="AY15" s="18">
        <f>AX15/31.10348013</f>
        <v>3.2457461215932426</v>
      </c>
      <c r="AZ15" s="17">
        <v>142.88399999999999</v>
      </c>
      <c r="BA15" s="18">
        <f>AZ15/31.10348013</f>
        <v>4.5938267808876212</v>
      </c>
      <c r="BB15" s="17">
        <v>120.15900000000001</v>
      </c>
      <c r="BC15" s="18">
        <f>BB15/31.10348013</f>
        <v>3.8632011433377826</v>
      </c>
      <c r="BD15" s="18">
        <v>105.812</v>
      </c>
      <c r="BE15" s="18">
        <f>BD15/31.10348013</f>
        <v>3.401934431701807</v>
      </c>
      <c r="BF15" s="17">
        <v>115.172</v>
      </c>
      <c r="BG15" s="18">
        <f>BF15/31.10348013</f>
        <v>3.702865387365899</v>
      </c>
      <c r="BH15" s="17">
        <v>121.93300000000001</v>
      </c>
      <c r="BI15" s="18">
        <f>BH15/31.10348013</f>
        <v>3.9202365616442036</v>
      </c>
      <c r="BJ15" s="17">
        <v>139.93899999999999</v>
      </c>
      <c r="BK15" s="18">
        <f>BJ15/31.10348013</f>
        <v>4.4991428423800626</v>
      </c>
      <c r="BL15" s="17">
        <v>99.207999999999998</v>
      </c>
      <c r="BM15" s="18">
        <f>BL15/31.10348013</f>
        <v>3.1896109240943642</v>
      </c>
      <c r="BN15" s="17">
        <v>131.733</v>
      </c>
      <c r="BO15" s="18">
        <f>BN15/31.10348013</f>
        <v>4.235313844283958</v>
      </c>
      <c r="BP15" s="17">
        <v>97.525000000000006</v>
      </c>
      <c r="BQ15" s="18">
        <f>BP15/31.10348013</f>
        <v>3.1355012234124557</v>
      </c>
      <c r="BR15" s="17">
        <v>94.524000000000001</v>
      </c>
      <c r="BS15" s="18">
        <f>BR15/31.10348013</f>
        <v>3.0390168432898124</v>
      </c>
      <c r="BT15" s="17">
        <v>122.863</v>
      </c>
      <c r="BU15" s="18">
        <f>BT15/31.10348013</f>
        <v>3.9501367527518534</v>
      </c>
      <c r="BV15" s="17">
        <v>92.933999999999997</v>
      </c>
      <c r="BW15" s="18">
        <f>BV15/31.10348013</f>
        <v>2.987897161718668</v>
      </c>
      <c r="BX15" s="17">
        <v>108.495</v>
      </c>
      <c r="BY15" s="18">
        <f>BX15/31.10348013</f>
        <v>3.4881948755102217</v>
      </c>
      <c r="BZ15" s="17">
        <v>108.887</v>
      </c>
      <c r="CA15" s="18">
        <f>BZ15/31.10348013</f>
        <v>3.5007979668158118</v>
      </c>
      <c r="CB15" s="17">
        <v>101.38800000000001</v>
      </c>
      <c r="CC15" s="18">
        <f>CB15/31.10348013</f>
        <v>3.2596995441101466</v>
      </c>
      <c r="CD15" s="17">
        <v>115.768</v>
      </c>
      <c r="CE15" s="18">
        <f>CD15/31.10348013</f>
        <v>3.7220272302692963</v>
      </c>
      <c r="CF15" s="17">
        <v>119.068</v>
      </c>
      <c r="CG15" s="18">
        <f>CF15/31.10348013</f>
        <v>3.8281246825867647</v>
      </c>
      <c r="CH15" s="17">
        <v>91.057000000000002</v>
      </c>
      <c r="CI15" s="18">
        <f>CH15/31.10348013</f>
        <v>2.9275502168702174</v>
      </c>
      <c r="CJ15" s="17">
        <v>109.97499999999999</v>
      </c>
      <c r="CK15" s="18">
        <f>CJ15/31.10348013</f>
        <v>3.5357779753374494</v>
      </c>
      <c r="CL15" s="17">
        <v>105.77500000000001</v>
      </c>
      <c r="CM15" s="18">
        <f>CL15/31.10348013</f>
        <v>3.4007448542061263</v>
      </c>
      <c r="CN15" s="17">
        <v>83.843000000000004</v>
      </c>
      <c r="CO15" s="18">
        <f>CN15/31.10348013</f>
        <v>2.6956147559556065</v>
      </c>
      <c r="CP15" s="17">
        <v>129.15299999999999</v>
      </c>
      <c r="CQ15" s="18">
        <f>CP15/31.10348013</f>
        <v>4.1523649270175733</v>
      </c>
      <c r="CR15" s="17">
        <v>106.30800000000001</v>
      </c>
      <c r="CS15" s="18">
        <f>CR15/31.10348013</f>
        <v>3.417881200292554</v>
      </c>
      <c r="CT15" s="17">
        <v>98.231999999999999</v>
      </c>
      <c r="CU15" s="18">
        <f>CT15/31.10348013</f>
        <v>3.1582317988028947</v>
      </c>
      <c r="CV15" s="17"/>
      <c r="CW15" s="17"/>
      <c r="CX15" s="17"/>
      <c r="CY15" s="17"/>
      <c r="CZ15" s="17"/>
      <c r="DA15" s="17"/>
      <c r="DB15" s="17"/>
      <c r="DC15" s="17"/>
      <c r="DD15" s="17"/>
      <c r="DE15" s="17"/>
      <c r="DF15" s="17"/>
      <c r="DG15" s="17"/>
      <c r="DH15" s="17"/>
      <c r="DI15" s="17"/>
      <c r="DJ15" s="17"/>
      <c r="DK15" s="17"/>
      <c r="DL15" s="17"/>
      <c r="DM15" s="17"/>
      <c r="DN15" s="17"/>
      <c r="DO15" s="17"/>
      <c r="DP15" s="17"/>
      <c r="DQ15" s="17"/>
      <c r="DR15" s="17"/>
      <c r="DS15" s="17"/>
      <c r="DT15" s="17"/>
      <c r="DU15" s="17"/>
      <c r="DV15" s="17">
        <v>109.38</v>
      </c>
      <c r="DW15" s="18">
        <f>DV15/31.10348013</f>
        <v>3.5166482831771786</v>
      </c>
      <c r="DX15" s="17">
        <v>98.221000000000004</v>
      </c>
      <c r="DY15" s="18">
        <f>DX15/31.10348013</f>
        <v>3.1578781406285032</v>
      </c>
      <c r="DZ15" s="17">
        <v>69.531000000000006</v>
      </c>
      <c r="EA15" s="18">
        <f>DZ15/31.10348013</f>
        <v>2.2354733203290587</v>
      </c>
      <c r="EB15" s="17">
        <v>87.364000000000004</v>
      </c>
      <c r="EC15" s="18">
        <f>EB15/31.10348013</f>
        <v>2.8088175225040324</v>
      </c>
      <c r="ED15" s="17">
        <v>142.44900000000001</v>
      </c>
      <c r="EE15" s="18">
        <f>ED15/31.10348013</f>
        <v>4.5798412076275916</v>
      </c>
      <c r="EF15" s="17">
        <v>116.663</v>
      </c>
      <c r="EG15" s="18">
        <f>EF15/31.10348013</f>
        <v>3.7508021453675187</v>
      </c>
      <c r="EH15" s="17">
        <v>113.15600000000001</v>
      </c>
      <c r="EI15" s="18">
        <f>EH15/31.10348013</f>
        <v>3.6380494892228641</v>
      </c>
      <c r="EJ15" s="17">
        <v>98.72</v>
      </c>
      <c r="EK15" s="18">
        <f>EJ15/31.10348013</f>
        <v>3.1739213614486297</v>
      </c>
      <c r="EL15" s="17">
        <v>96.585999999999999</v>
      </c>
      <c r="EM15" s="18">
        <f>EL15/31.10348013</f>
        <v>3.1053116756166665</v>
      </c>
      <c r="EN15" s="17">
        <v>100.371</v>
      </c>
      <c r="EO15" s="18">
        <f>EN15/31.10348013</f>
        <v>3.2270022383504902</v>
      </c>
      <c r="EP15" s="17">
        <v>128.60300000000001</v>
      </c>
      <c r="EQ15" s="18">
        <f>EP15/31.10348013</f>
        <v>4.1346820182979958</v>
      </c>
      <c r="ER15" s="17">
        <v>98.994</v>
      </c>
      <c r="ES15" s="18">
        <f>ER15/31.10348013</f>
        <v>3.182730665065292</v>
      </c>
      <c r="ET15" s="17">
        <v>108.202</v>
      </c>
      <c r="EU15" s="18">
        <f>ET15/31.10348013</f>
        <v>3.4787747077741553</v>
      </c>
      <c r="EV15" s="17">
        <v>94.927999999999997</v>
      </c>
      <c r="EW15" s="18">
        <f>EV15/31.10348013</f>
        <v>3.0520057435129204</v>
      </c>
      <c r="EX15" s="17">
        <v>101.684</v>
      </c>
      <c r="EY15" s="18">
        <f>EX15/31.10348013</f>
        <v>3.2692161640755919</v>
      </c>
      <c r="EZ15" s="17">
        <v>90.926000000000002</v>
      </c>
      <c r="FA15" s="18">
        <f>EZ15/31.10348013</f>
        <v>2.9233384695206452</v>
      </c>
      <c r="FB15" s="17">
        <v>119.151</v>
      </c>
      <c r="FC15" s="18">
        <f>FB15/31.10348013</f>
        <v>3.8307931942662647</v>
      </c>
      <c r="FD15" s="17">
        <v>106.93300000000001</v>
      </c>
      <c r="FE15" s="18">
        <f>FD15/31.10348013</f>
        <v>3.4379754147466199</v>
      </c>
      <c r="FF15" s="17">
        <v>118.381</v>
      </c>
      <c r="FG15" s="18">
        <f>FF15/31.10348013</f>
        <v>3.8060371220588554</v>
      </c>
      <c r="FH15" s="17">
        <v>106.084</v>
      </c>
      <c r="FI15" s="18">
        <f>FH15/31.10348013</f>
        <v>3.4106794338322164</v>
      </c>
      <c r="FJ15" s="17">
        <v>107.595</v>
      </c>
      <c r="FK15" s="18">
        <f>FJ15/31.10348013</f>
        <v>3.4592592066963666</v>
      </c>
      <c r="FL15" s="17">
        <v>122.82599999999999</v>
      </c>
      <c r="FM15" s="18">
        <f>FL15/31.10348013</f>
        <v>3.9489471752561727</v>
      </c>
      <c r="FN15" s="17">
        <v>122.497</v>
      </c>
      <c r="FO15" s="18">
        <f>FN15/31.10348013</f>
        <v>3.9383695807675525</v>
      </c>
      <c r="FP15" s="17">
        <v>96.728999999999999</v>
      </c>
      <c r="FQ15" s="18">
        <f>FP15/31.10348013</f>
        <v>3.1099092318837571</v>
      </c>
      <c r="FR15" s="17">
        <v>144.33799999999999</v>
      </c>
      <c r="FS15" s="18">
        <f>FR15/31.10348013</f>
        <v>4.6405739613935602</v>
      </c>
      <c r="FT15" s="17">
        <v>115.649</v>
      </c>
      <c r="FU15" s="18">
        <f>FT15/31.10348013</f>
        <v>3.7182012918372425</v>
      </c>
      <c r="FV15" s="17">
        <v>105.384</v>
      </c>
      <c r="FW15" s="18">
        <f>FV15/31.10348013</f>
        <v>3.3881739136436626</v>
      </c>
      <c r="FX15" s="17">
        <v>152.005</v>
      </c>
      <c r="FY15" s="18">
        <f>FX15/31.10348013</f>
        <v>4.8870737089444782</v>
      </c>
      <c r="FZ15" s="17">
        <v>154.15100000000001</v>
      </c>
      <c r="GA15" s="18">
        <f>FZ15/31.10348013</f>
        <v>4.9560692036939598</v>
      </c>
      <c r="GB15" s="17">
        <v>91.034000000000006</v>
      </c>
      <c r="GC15" s="18">
        <f>GB15/31.10348013</f>
        <v>2.926810749778308</v>
      </c>
      <c r="GD15" s="17">
        <v>96.391000000000005</v>
      </c>
      <c r="GE15" s="18">
        <f>GD15/31.10348013</f>
        <v>3.0990422807069984</v>
      </c>
      <c r="GF15" s="17">
        <v>153.054</v>
      </c>
      <c r="GG15" s="18">
        <f>GF15/31.10348013</f>
        <v>4.9207998384841831</v>
      </c>
      <c r="GH15" s="17">
        <v>67.106999999999999</v>
      </c>
      <c r="GI15" s="18">
        <f>GH15/31.10348013</f>
        <v>2.157539918990409</v>
      </c>
      <c r="GJ15" s="17">
        <v>139.95699999999999</v>
      </c>
      <c r="GK15" s="18">
        <f>GJ15/31.10348013</f>
        <v>4.4997215557563397</v>
      </c>
      <c r="GL15" s="17">
        <v>155.39599999999999</v>
      </c>
      <c r="GM15" s="18">
        <f>GL15/31.10348013</f>
        <v>4.9960968788864584</v>
      </c>
      <c r="GN15" s="17">
        <v>127.33199999999999</v>
      </c>
      <c r="GO15" s="18">
        <f>GN15/31.10348013</f>
        <v>4.0938184237842066</v>
      </c>
      <c r="GP15" s="17">
        <v>99.914000000000001</v>
      </c>
      <c r="GQ15" s="18">
        <f>GP15/31.10348013</f>
        <v>3.2123093487416772</v>
      </c>
      <c r="GR15" s="17">
        <v>157.39699999999999</v>
      </c>
      <c r="GS15" s="18">
        <f>GR15/31.10348013</f>
        <v>5.0604305158825964</v>
      </c>
      <c r="GT15" s="17">
        <v>97.917000000000002</v>
      </c>
      <c r="GU15" s="18">
        <f>GT15/31.10348013</f>
        <v>3.1481043147180454</v>
      </c>
      <c r="GV15" s="17">
        <v>127.249</v>
      </c>
      <c r="GW15" s="18">
        <f>GV15/31.10348013</f>
        <v>4.091149912104707</v>
      </c>
      <c r="GX15" s="17">
        <v>93.727999999999994</v>
      </c>
      <c r="GY15" s="18">
        <f>GX15/31.10348013</f>
        <v>3.0134248517611137</v>
      </c>
      <c r="GZ15" s="17">
        <v>107.163</v>
      </c>
      <c r="HA15" s="18">
        <f>GZ15/31.10348013</f>
        <v>3.4453700856657159</v>
      </c>
      <c r="HB15" s="17">
        <v>135.03100000000001</v>
      </c>
      <c r="HC15" s="18">
        <f>HB15/31.10348013</f>
        <v>4.3413469951151731</v>
      </c>
      <c r="HD15" s="17">
        <v>129.869</v>
      </c>
      <c r="HE15" s="18">
        <f>HD15/31.10348013</f>
        <v>4.1753848590961518</v>
      </c>
      <c r="HF15" s="17">
        <v>126.53100000000001</v>
      </c>
      <c r="HG15" s="18">
        <f>HF15/31.10348013</f>
        <v>4.0680656785398757</v>
      </c>
      <c r="HH15" s="17">
        <v>117.28100000000001</v>
      </c>
      <c r="HI15" s="18">
        <f>HH15/31.10348013</f>
        <v>3.7706713046196993</v>
      </c>
      <c r="HJ15" s="17">
        <v>88.075999999999993</v>
      </c>
      <c r="HK15" s="18">
        <f t="shared" ref="HK15:HK16" si="359">HJ15/31.10348013</f>
        <v>2.8317088516101041</v>
      </c>
      <c r="HL15" s="17">
        <v>136.03899999999999</v>
      </c>
      <c r="HM15" s="18">
        <f t="shared" ref="HM15:HM16" si="360">HL15/31.10348013</f>
        <v>4.3737549441866905</v>
      </c>
      <c r="HN15" s="17">
        <v>141.47399999999999</v>
      </c>
      <c r="HO15" s="18">
        <f t="shared" ref="HO15:HO16" si="361">HN15/31.10348013</f>
        <v>4.5484942330792482</v>
      </c>
      <c r="HP15" s="17">
        <v>154.00200000000001</v>
      </c>
      <c r="HQ15" s="18">
        <f t="shared" si="357"/>
        <v>4.9512787429681104</v>
      </c>
      <c r="HR15" s="17">
        <v>104.125</v>
      </c>
      <c r="HS15" s="18">
        <f t="shared" si="358"/>
        <v>3.3476961280473922</v>
      </c>
      <c r="HT15" s="17">
        <v>155.99299999999999</v>
      </c>
      <c r="HU15" s="18">
        <f t="shared" si="185"/>
        <v>5.015290872532983</v>
      </c>
      <c r="HV15" s="17">
        <v>130.721</v>
      </c>
      <c r="HW15" s="18">
        <f t="shared" si="186"/>
        <v>4.2027772922399347</v>
      </c>
      <c r="HX15" s="17">
        <v>109.309</v>
      </c>
      <c r="HY15" s="18">
        <f t="shared" si="187"/>
        <v>3.514365580415197</v>
      </c>
      <c r="HZ15" s="17">
        <v>108.73099999999999</v>
      </c>
      <c r="IA15" s="18">
        <f t="shared" si="188"/>
        <v>3.4957824508880764</v>
      </c>
      <c r="IB15" s="17">
        <v>135.40299999999999</v>
      </c>
      <c r="IC15" s="18">
        <f t="shared" si="189"/>
        <v>4.3533070715582332</v>
      </c>
      <c r="ID15" s="17">
        <v>127.43</v>
      </c>
      <c r="IE15" s="18">
        <f t="shared" si="190"/>
        <v>4.0969691966106048</v>
      </c>
      <c r="IF15" s="17">
        <v>101.149</v>
      </c>
      <c r="IG15" s="18">
        <f t="shared" si="191"/>
        <v>3.2520155165029117</v>
      </c>
      <c r="IH15" s="17">
        <v>117.08799999999999</v>
      </c>
      <c r="II15" s="18">
        <f t="shared" si="192"/>
        <v>3.7644662111962837</v>
      </c>
      <c r="IJ15" s="17">
        <v>130.52699999999999</v>
      </c>
      <c r="IK15" s="18">
        <f t="shared" si="193"/>
        <v>4.1965400480733912</v>
      </c>
      <c r="IL15" s="17">
        <v>128.77199999999999</v>
      </c>
      <c r="IM15" s="18">
        <f t="shared" si="194"/>
        <v>4.1401154938863742</v>
      </c>
      <c r="IN15" s="17">
        <v>78.902000000000001</v>
      </c>
      <c r="IO15" s="18">
        <f t="shared" si="195"/>
        <v>2.5367579341675421</v>
      </c>
      <c r="IP15" s="17">
        <v>128.22999999999999</v>
      </c>
      <c r="IQ15" s="18">
        <f t="shared" si="196"/>
        <v>4.1226897911118083</v>
      </c>
      <c r="IR15" s="17">
        <v>137.316</v>
      </c>
      <c r="IS15" s="18">
        <f t="shared" si="197"/>
        <v>4.4148114431592385</v>
      </c>
      <c r="IT15" s="17">
        <v>91.506</v>
      </c>
      <c r="IU15" s="18">
        <f t="shared" si="198"/>
        <v>2.9419859005340183</v>
      </c>
      <c r="IV15" s="17">
        <v>147.65899999999999</v>
      </c>
      <c r="IW15" s="18">
        <f t="shared" si="199"/>
        <v>4.7473465793166856</v>
      </c>
      <c r="IX15" s="17">
        <v>84.736999999999995</v>
      </c>
      <c r="IY15" s="18">
        <f t="shared" si="200"/>
        <v>2.724357520310702</v>
      </c>
      <c r="IZ15" s="17">
        <v>144.40799999999999</v>
      </c>
      <c r="JA15" s="18">
        <f t="shared" si="201"/>
        <v>4.6428245134124158</v>
      </c>
      <c r="JB15" s="17">
        <v>111.779</v>
      </c>
      <c r="JC15" s="18">
        <f t="shared" si="202"/>
        <v>3.5937779159376655</v>
      </c>
      <c r="JD15" s="17">
        <v>80.44</v>
      </c>
      <c r="JE15" s="18">
        <f t="shared" si="203"/>
        <v>2.5862057770961075</v>
      </c>
      <c r="JF15" s="17">
        <v>132.31299999999999</v>
      </c>
      <c r="JG15" s="18">
        <f t="shared" si="204"/>
        <v>4.253961275297331</v>
      </c>
      <c r="JH15" s="17">
        <v>72.515000000000001</v>
      </c>
      <c r="JI15" s="18">
        <f t="shared" si="205"/>
        <v>2.3314111378185514</v>
      </c>
      <c r="JJ15" s="17">
        <v>136.91</v>
      </c>
      <c r="JK15" s="18">
        <f t="shared" si="206"/>
        <v>4.401758241449877</v>
      </c>
      <c r="JL15" s="17">
        <v>91.426000000000002</v>
      </c>
      <c r="JM15" s="18">
        <f t="shared" si="207"/>
        <v>2.9394138410838981</v>
      </c>
      <c r="JN15" s="17">
        <v>100.77800000000001</v>
      </c>
      <c r="JO15" s="18">
        <f t="shared" si="208"/>
        <v>3.240087590802978</v>
      </c>
      <c r="JP15" s="17">
        <v>73.593000000000004</v>
      </c>
      <c r="JQ15" s="18">
        <f t="shared" si="209"/>
        <v>2.3660696389089244</v>
      </c>
      <c r="JR15" s="17">
        <v>151.40700000000001</v>
      </c>
      <c r="JS15" s="18">
        <f t="shared" si="210"/>
        <v>4.8678475645548289</v>
      </c>
      <c r="JT15" s="17">
        <v>149.99600000000001</v>
      </c>
      <c r="JU15" s="18">
        <f t="shared" si="211"/>
        <v>4.8224828660033294</v>
      </c>
      <c r="JV15" s="17">
        <v>122.872</v>
      </c>
      <c r="JW15" s="18">
        <f t="shared" si="212"/>
        <v>3.950426109439992</v>
      </c>
      <c r="JX15" s="17">
        <v>95.721999999999994</v>
      </c>
      <c r="JY15" s="18">
        <f t="shared" si="213"/>
        <v>3.0775334335553657</v>
      </c>
      <c r="JZ15" s="18">
        <v>132.345</v>
      </c>
      <c r="KA15" s="18">
        <f t="shared" si="214"/>
        <v>4.2549900990773795</v>
      </c>
      <c r="KB15" s="19">
        <v>112.137</v>
      </c>
      <c r="KC15" s="18">
        <f t="shared" si="215"/>
        <v>3.6052878819769547</v>
      </c>
      <c r="KD15" s="18">
        <v>120.833</v>
      </c>
      <c r="KE15" s="18">
        <f t="shared" si="216"/>
        <v>3.8848707442050472</v>
      </c>
      <c r="KF15" s="17">
        <v>132.94300000000001</v>
      </c>
      <c r="KG15" s="18">
        <f t="shared" si="217"/>
        <v>4.2742162434670297</v>
      </c>
      <c r="KH15" s="17">
        <v>133.08799999999999</v>
      </c>
      <c r="KI15" s="18">
        <f t="shared" si="218"/>
        <v>4.2788781012203723</v>
      </c>
      <c r="KJ15" s="17">
        <v>108.447</v>
      </c>
      <c r="KK15" s="18">
        <f t="shared" si="219"/>
        <v>3.486651639840149</v>
      </c>
      <c r="KL15" s="17">
        <v>97.201999999999998</v>
      </c>
      <c r="KM15" s="18">
        <f t="shared" si="220"/>
        <v>3.1251165333825939</v>
      </c>
      <c r="KN15" s="17">
        <v>122.76600000000001</v>
      </c>
      <c r="KO15" s="18">
        <f t="shared" si="221"/>
        <v>3.9470181306685825</v>
      </c>
      <c r="KP15" s="17">
        <v>93.885000000000005</v>
      </c>
      <c r="KQ15" s="18">
        <f t="shared" si="222"/>
        <v>3.0184725184319752</v>
      </c>
      <c r="KR15" s="17">
        <v>149.13200000000001</v>
      </c>
      <c r="KS15" s="18">
        <f t="shared" si="223"/>
        <v>4.7947046239420281</v>
      </c>
      <c r="KT15" s="17">
        <v>145.821</v>
      </c>
      <c r="KU15" s="18">
        <f t="shared" si="224"/>
        <v>4.6882535134501682</v>
      </c>
      <c r="KV15" s="17">
        <v>131.34399999999999</v>
      </c>
      <c r="KW15" s="18">
        <f t="shared" si="225"/>
        <v>4.2228072052077472</v>
      </c>
      <c r="KX15" s="17">
        <v>113.401</v>
      </c>
      <c r="KY15" s="18">
        <f t="shared" si="226"/>
        <v>3.6459264212888578</v>
      </c>
      <c r="KZ15" s="17">
        <v>159.11600000000001</v>
      </c>
      <c r="LA15" s="18">
        <f t="shared" si="227"/>
        <v>5.11569764331706</v>
      </c>
      <c r="LB15" s="18">
        <v>105.25</v>
      </c>
      <c r="LC15" s="18">
        <f t="shared" si="228"/>
        <v>3.383865714064711</v>
      </c>
      <c r="LD15" s="17">
        <v>101.34399999999999</v>
      </c>
      <c r="LE15" s="18">
        <f t="shared" si="229"/>
        <v>3.2582849114125798</v>
      </c>
      <c r="LF15" s="17">
        <v>109.38500000000001</v>
      </c>
      <c r="LG15" s="18">
        <f t="shared" si="230"/>
        <v>3.5168090368928113</v>
      </c>
      <c r="LH15" s="17">
        <v>110.027</v>
      </c>
      <c r="LI15" s="18">
        <f t="shared" si="231"/>
        <v>3.5374498139800279</v>
      </c>
      <c r="LJ15" s="17">
        <v>144.03200000000001</v>
      </c>
      <c r="LK15" s="18">
        <f t="shared" si="232"/>
        <v>4.6307358339968498</v>
      </c>
      <c r="LL15" s="17">
        <v>100.31399999999999</v>
      </c>
      <c r="LM15" s="18">
        <f t="shared" si="233"/>
        <v>3.225169645992279</v>
      </c>
      <c r="LN15" s="17">
        <v>122.417</v>
      </c>
      <c r="LO15" s="18">
        <f t="shared" si="234"/>
        <v>3.9357975213174319</v>
      </c>
      <c r="LP15" s="17">
        <v>161.923</v>
      </c>
      <c r="LQ15" s="18">
        <f t="shared" si="235"/>
        <v>5.2059447792731612</v>
      </c>
      <c r="LR15" s="17">
        <v>105.527</v>
      </c>
      <c r="LS15" s="18">
        <f t="shared" si="236"/>
        <v>3.3927714699107527</v>
      </c>
      <c r="LT15" s="17">
        <v>102.73</v>
      </c>
      <c r="LU15" s="18">
        <f t="shared" si="237"/>
        <v>3.302845841385917</v>
      </c>
      <c r="LV15" s="17">
        <v>185.31899999999999</v>
      </c>
      <c r="LW15" s="18">
        <f t="shared" si="238"/>
        <v>5.958143565460885</v>
      </c>
      <c r="LX15" s="17">
        <v>119.976</v>
      </c>
      <c r="LY15" s="18">
        <f t="shared" si="239"/>
        <v>3.857317557345632</v>
      </c>
      <c r="LZ15" s="17">
        <v>105.319</v>
      </c>
      <c r="MA15" s="18">
        <f t="shared" si="240"/>
        <v>3.3860841153404397</v>
      </c>
      <c r="MB15" s="17">
        <v>149.654</v>
      </c>
      <c r="MC15" s="18">
        <f t="shared" si="241"/>
        <v>4.811487311854064</v>
      </c>
      <c r="MD15" s="17">
        <v>131.66900000000001</v>
      </c>
      <c r="ME15" s="18">
        <f t="shared" si="242"/>
        <v>4.233256196723862</v>
      </c>
      <c r="MF15" s="17">
        <v>112.88800000000001</v>
      </c>
      <c r="MG15" s="18">
        <f t="shared" si="243"/>
        <v>3.6294330900649605</v>
      </c>
      <c r="MH15" s="17">
        <v>121.718</v>
      </c>
      <c r="MI15" s="18">
        <f t="shared" si="244"/>
        <v>3.9133241518720046</v>
      </c>
      <c r="MJ15" s="17">
        <v>160.14500000000001</v>
      </c>
      <c r="MK15" s="18">
        <f t="shared" si="245"/>
        <v>5.148780757994234</v>
      </c>
      <c r="ML15" s="17">
        <v>101.166</v>
      </c>
      <c r="MM15" s="18">
        <f t="shared" si="246"/>
        <v>3.2525620791360619</v>
      </c>
      <c r="MN15" s="17">
        <v>144.84200000000001</v>
      </c>
      <c r="MO15" s="18">
        <f t="shared" si="247"/>
        <v>4.6567779359293198</v>
      </c>
      <c r="MP15" s="17">
        <v>155.971</v>
      </c>
      <c r="MQ15" s="18">
        <f t="shared" si="248"/>
        <v>5.0145835561842</v>
      </c>
      <c r="MR15" s="17">
        <v>113.077</v>
      </c>
      <c r="MS15" s="18">
        <f t="shared" si="249"/>
        <v>3.6355095805158699</v>
      </c>
      <c r="MT15" s="17">
        <v>97.209000000000003</v>
      </c>
      <c r="MU15" s="18">
        <f t="shared" si="250"/>
        <v>3.1253415885844795</v>
      </c>
      <c r="MV15" s="17">
        <v>106.961</v>
      </c>
      <c r="MW15" s="18">
        <f t="shared" si="251"/>
        <v>3.4388756355541616</v>
      </c>
      <c r="MX15" s="17">
        <v>111.446</v>
      </c>
      <c r="MY15" s="18">
        <f t="shared" si="252"/>
        <v>3.5830717184765395</v>
      </c>
      <c r="MZ15" s="17">
        <v>120.925</v>
      </c>
      <c r="NA15" s="18">
        <f t="shared" si="253"/>
        <v>3.8878286125726853</v>
      </c>
      <c r="NB15" s="17">
        <v>125.85299999999999</v>
      </c>
      <c r="NC15" s="18">
        <f t="shared" si="254"/>
        <v>4.0462674747001053</v>
      </c>
      <c r="ND15" s="17">
        <v>162.417</v>
      </c>
      <c r="NE15" s="18">
        <f t="shared" si="255"/>
        <v>5.2218272463776545</v>
      </c>
      <c r="NF15" s="17">
        <v>220.60300000000001</v>
      </c>
      <c r="NG15" s="18">
        <f t="shared" si="256"/>
        <v>7.0925503859365078</v>
      </c>
      <c r="NH15" s="17">
        <v>127.58199999999999</v>
      </c>
      <c r="NI15" s="18">
        <f t="shared" si="257"/>
        <v>4.1018561095658326</v>
      </c>
      <c r="NJ15" s="17">
        <v>101.65900000000001</v>
      </c>
      <c r="NK15" s="18">
        <f t="shared" si="258"/>
        <v>3.2684123954974296</v>
      </c>
      <c r="NL15" s="17">
        <v>165.61099999999999</v>
      </c>
      <c r="NM15" s="18">
        <f t="shared" si="259"/>
        <v>5.3245167199237127</v>
      </c>
      <c r="NN15" s="17">
        <v>128.52199999999999</v>
      </c>
      <c r="NO15" s="18">
        <f t="shared" si="260"/>
        <v>4.1320778081047482</v>
      </c>
      <c r="NP15" s="17">
        <v>154.18700000000001</v>
      </c>
      <c r="NQ15" s="18">
        <f t="shared" si="261"/>
        <v>4.957226630446514</v>
      </c>
      <c r="NR15" s="17">
        <v>108.916</v>
      </c>
      <c r="NS15" s="18">
        <f t="shared" si="262"/>
        <v>3.50173033836648</v>
      </c>
      <c r="NT15" s="17">
        <v>169.916</v>
      </c>
      <c r="NU15" s="18">
        <f t="shared" si="263"/>
        <v>5.4629256690833197</v>
      </c>
      <c r="NV15" s="17">
        <v>112.88500000000001</v>
      </c>
      <c r="NW15" s="18">
        <f t="shared" si="264"/>
        <v>3.6293366378355811</v>
      </c>
      <c r="NX15" s="17">
        <v>151.76599999999999</v>
      </c>
      <c r="NY15" s="18">
        <f t="shared" si="265"/>
        <v>4.8793896813372433</v>
      </c>
      <c r="NZ15" s="17">
        <v>162.27000000000001</v>
      </c>
      <c r="OA15" s="18">
        <f t="shared" si="266"/>
        <v>5.217101087138059</v>
      </c>
      <c r="OB15" s="17">
        <v>87.519000000000005</v>
      </c>
      <c r="OC15" s="18">
        <f t="shared" si="267"/>
        <v>2.8138008876886409</v>
      </c>
      <c r="OD15" s="17">
        <v>158.309</v>
      </c>
      <c r="OE15" s="18">
        <f t="shared" si="268"/>
        <v>5.0897519936139695</v>
      </c>
      <c r="OF15" s="17">
        <v>103.355</v>
      </c>
      <c r="OG15" s="18">
        <f t="shared" si="269"/>
        <v>3.3229400558399829</v>
      </c>
      <c r="OH15" s="17">
        <v>157.012</v>
      </c>
      <c r="OI15" s="18">
        <f t="shared" si="270"/>
        <v>5.0480524797788924</v>
      </c>
      <c r="OJ15" s="17">
        <v>108.711</v>
      </c>
      <c r="OK15" s="18">
        <f t="shared" si="271"/>
        <v>3.4951394360255468</v>
      </c>
      <c r="OL15" s="17">
        <v>151.60599999999999</v>
      </c>
      <c r="OM15" s="18">
        <f t="shared" si="272"/>
        <v>4.8742455624370029</v>
      </c>
      <c r="ON15" s="17">
        <v>124.026</v>
      </c>
      <c r="OO15" s="18">
        <f t="shared" si="273"/>
        <v>3.9875280670079793</v>
      </c>
      <c r="OP15" s="17">
        <v>153.86199999999999</v>
      </c>
      <c r="OQ15" s="18">
        <f t="shared" si="274"/>
        <v>4.9467776389303992</v>
      </c>
      <c r="OR15" s="17">
        <v>112.158</v>
      </c>
      <c r="OS15" s="18">
        <f t="shared" si="275"/>
        <v>3.6059630475826112</v>
      </c>
      <c r="OT15" s="17">
        <v>120.911</v>
      </c>
      <c r="OU15" s="18">
        <f t="shared" si="276"/>
        <v>3.8873785021689145</v>
      </c>
      <c r="OV15" s="17">
        <v>149.232</v>
      </c>
      <c r="OW15" s="18">
        <f t="shared" si="277"/>
        <v>4.7979196982546783</v>
      </c>
      <c r="OX15" s="17">
        <v>93.775999999999996</v>
      </c>
      <c r="OY15" s="18">
        <f t="shared" si="278"/>
        <v>3.0149680874311859</v>
      </c>
      <c r="OZ15" s="17">
        <v>129.642</v>
      </c>
      <c r="PA15" s="18">
        <f t="shared" si="279"/>
        <v>4.1680866404064343</v>
      </c>
      <c r="PB15" s="17">
        <v>170.208</v>
      </c>
      <c r="PC15" s="18">
        <f t="shared" si="280"/>
        <v>5.4723136860762596</v>
      </c>
      <c r="PD15" s="17">
        <v>95.73</v>
      </c>
      <c r="PE15" s="18">
        <f t="shared" si="281"/>
        <v>3.0777906395003778</v>
      </c>
      <c r="PF15" s="17">
        <v>149.494</v>
      </c>
      <c r="PG15" s="18">
        <f t="shared" si="282"/>
        <v>4.8063431929538227</v>
      </c>
      <c r="PH15" s="17">
        <v>148.53800000000001</v>
      </c>
      <c r="PI15" s="18">
        <f t="shared" si="283"/>
        <v>4.7756070825248838</v>
      </c>
      <c r="PJ15" s="17">
        <v>172.023</v>
      </c>
      <c r="PK15" s="18">
        <f t="shared" si="284"/>
        <v>5.5306672848508667</v>
      </c>
      <c r="PL15" s="17">
        <v>132.959</v>
      </c>
      <c r="PM15" s="18">
        <f t="shared" si="285"/>
        <v>4.2747306553570539</v>
      </c>
      <c r="PN15" s="17">
        <v>116.965</v>
      </c>
      <c r="PO15" s="18">
        <f t="shared" si="286"/>
        <v>3.7605116697917236</v>
      </c>
      <c r="PP15" s="17">
        <v>154.38999999999999</v>
      </c>
      <c r="PQ15" s="18">
        <f t="shared" si="287"/>
        <v>4.9637532313011938</v>
      </c>
      <c r="PR15" s="17">
        <v>125.399</v>
      </c>
      <c r="PS15" s="18">
        <f t="shared" si="288"/>
        <v>4.0316710373206712</v>
      </c>
      <c r="PT15" s="17">
        <v>115.538</v>
      </c>
      <c r="PU15" s="18">
        <f t="shared" si="289"/>
        <v>3.7146325593501999</v>
      </c>
      <c r="PV15" s="17">
        <v>103.313</v>
      </c>
      <c r="PW15" s="18">
        <f t="shared" si="290"/>
        <v>3.3215897246286699</v>
      </c>
      <c r="PX15" s="18">
        <v>116.77</v>
      </c>
      <c r="PY15" s="18">
        <f t="shared" si="291"/>
        <v>3.754242274882055</v>
      </c>
      <c r="PZ15" s="17">
        <v>112.14100000000001</v>
      </c>
      <c r="QA15" s="18">
        <f t="shared" si="292"/>
        <v>3.605416484949461</v>
      </c>
      <c r="QB15" s="17">
        <v>111.586</v>
      </c>
      <c r="QC15" s="18">
        <f t="shared" si="293"/>
        <v>3.5875728225142502</v>
      </c>
      <c r="QD15" s="17">
        <v>115.233</v>
      </c>
      <c r="QE15" s="18">
        <f t="shared" si="294"/>
        <v>3.704826582696616</v>
      </c>
      <c r="QF15" s="17">
        <v>114.378</v>
      </c>
      <c r="QG15" s="18">
        <f t="shared" si="295"/>
        <v>3.6773376973234537</v>
      </c>
      <c r="QH15" s="17">
        <v>110.526</v>
      </c>
      <c r="QI15" s="18">
        <f t="shared" si="296"/>
        <v>3.5534930348001543</v>
      </c>
      <c r="QJ15" s="17">
        <v>111.88500000000001</v>
      </c>
      <c r="QK15" s="18">
        <f t="shared" si="297"/>
        <v>3.5971858947090753</v>
      </c>
      <c r="QL15" s="17">
        <v>122.947</v>
      </c>
      <c r="QM15" s="18">
        <f t="shared" si="298"/>
        <v>3.9528374151744798</v>
      </c>
      <c r="QN15" s="17">
        <v>120.187</v>
      </c>
      <c r="QO15" s="18">
        <f t="shared" si="299"/>
        <v>3.8641013641453243</v>
      </c>
      <c r="QP15" s="17">
        <v>123.85</v>
      </c>
      <c r="QQ15" s="18">
        <f t="shared" si="300"/>
        <v>3.9818695362177143</v>
      </c>
      <c r="QR15" s="17">
        <v>154.642</v>
      </c>
      <c r="QS15" s="18">
        <f t="shared" si="301"/>
        <v>4.9718552185690736</v>
      </c>
      <c r="QT15" s="17">
        <v>114.896</v>
      </c>
      <c r="QU15" s="18">
        <f t="shared" si="302"/>
        <v>3.6939917822629837</v>
      </c>
      <c r="QV15" s="17">
        <v>113.6</v>
      </c>
      <c r="QW15" s="18">
        <f t="shared" si="303"/>
        <v>3.6523244191710322</v>
      </c>
      <c r="QX15" s="17">
        <v>97.346000000000004</v>
      </c>
      <c r="QY15" s="18">
        <f t="shared" si="304"/>
        <v>3.1297462403928109</v>
      </c>
      <c r="QZ15" s="17">
        <v>136.37299999999999</v>
      </c>
      <c r="RA15" s="18">
        <f t="shared" si="305"/>
        <v>4.3844932923909434</v>
      </c>
      <c r="RB15" s="17">
        <v>87.763000000000005</v>
      </c>
      <c r="RC15" s="18">
        <f t="shared" si="306"/>
        <v>2.8216456690115082</v>
      </c>
      <c r="RD15" s="17">
        <v>135.82900000000001</v>
      </c>
      <c r="RE15" s="18">
        <f t="shared" si="307"/>
        <v>4.3670032881301246</v>
      </c>
      <c r="RF15" s="17">
        <v>112.286</v>
      </c>
      <c r="RG15" s="18">
        <f t="shared" si="308"/>
        <v>3.610078342702804</v>
      </c>
      <c r="RH15" s="17">
        <v>148.047</v>
      </c>
      <c r="RI15" s="18">
        <f t="shared" si="309"/>
        <v>4.7598210676497699</v>
      </c>
      <c r="RJ15" s="17">
        <v>122.371</v>
      </c>
      <c r="RK15" s="18">
        <f t="shared" si="310"/>
        <v>3.9343185871336126</v>
      </c>
      <c r="RL15" s="17">
        <v>115.99299999999999</v>
      </c>
      <c r="RM15" s="18">
        <f t="shared" si="311"/>
        <v>3.7292611474727599</v>
      </c>
      <c r="RN15" s="17">
        <v>163.47499999999999</v>
      </c>
      <c r="RO15" s="18">
        <f t="shared" si="312"/>
        <v>5.2558427326054975</v>
      </c>
      <c r="RP15" s="17">
        <v>143.303</v>
      </c>
      <c r="RQ15" s="18">
        <f t="shared" si="313"/>
        <v>4.6072979422576275</v>
      </c>
      <c r="RR15" s="18">
        <v>120.94</v>
      </c>
      <c r="RS15" s="18">
        <f t="shared" si="314"/>
        <v>3.8883108737195831</v>
      </c>
      <c r="RT15" s="18">
        <v>105.807</v>
      </c>
      <c r="RU15" s="18">
        <f t="shared" si="315"/>
        <v>3.4017736779861747</v>
      </c>
      <c r="RV15" s="18">
        <v>111.226</v>
      </c>
      <c r="RW15" s="18">
        <f t="shared" si="316"/>
        <v>3.5759985549887081</v>
      </c>
      <c r="RX15" s="18">
        <v>137.53200000000001</v>
      </c>
      <c r="RY15" s="18">
        <f t="shared" si="317"/>
        <v>4.421756003674564</v>
      </c>
      <c r="RZ15" s="18">
        <v>121.084</v>
      </c>
      <c r="SA15" s="18">
        <f t="shared" si="318"/>
        <v>3.8929405807298001</v>
      </c>
      <c r="SB15" s="18">
        <v>96.302999999999997</v>
      </c>
      <c r="SC15" s="18">
        <f t="shared" si="319"/>
        <v>3.0962130153118657</v>
      </c>
      <c r="SD15" s="18">
        <v>91.861999999999995</v>
      </c>
      <c r="SE15" s="18">
        <f t="shared" si="320"/>
        <v>2.9534315650870542</v>
      </c>
      <c r="SF15" s="18">
        <v>129.49100000000001</v>
      </c>
      <c r="SG15" s="18">
        <f t="shared" si="321"/>
        <v>4.1632318781943329</v>
      </c>
      <c r="SH15" s="18">
        <v>114.345</v>
      </c>
      <c r="SI15" s="18">
        <f t="shared" si="322"/>
        <v>3.6762767228002788</v>
      </c>
      <c r="SJ15" s="18">
        <v>95.248000000000005</v>
      </c>
      <c r="SK15" s="18">
        <f t="shared" si="323"/>
        <v>3.0622939813134025</v>
      </c>
      <c r="SL15" s="18">
        <v>126.253</v>
      </c>
      <c r="SM15" s="18">
        <f t="shared" si="324"/>
        <v>4.0591277719507071</v>
      </c>
      <c r="SN15" s="18">
        <v>86.179000000000002</v>
      </c>
      <c r="SO15" s="18">
        <f t="shared" si="325"/>
        <v>2.7707188918991235</v>
      </c>
      <c r="SP15" s="18">
        <v>107.788</v>
      </c>
      <c r="SQ15" s="18">
        <f t="shared" si="326"/>
        <v>3.4654643001197818</v>
      </c>
      <c r="SR15" s="18">
        <v>106.056</v>
      </c>
      <c r="SS15" s="18">
        <f t="shared" si="327"/>
        <v>3.4097792130246742</v>
      </c>
      <c r="ST15" s="18">
        <v>104.864</v>
      </c>
      <c r="SU15" s="18">
        <f t="shared" si="328"/>
        <v>3.3714555272178797</v>
      </c>
      <c r="SV15" s="18">
        <v>154.96799999999999</v>
      </c>
      <c r="SW15" s="18">
        <f t="shared" si="329"/>
        <v>4.982336360828314</v>
      </c>
      <c r="SX15" s="18">
        <v>179.25299999999999</v>
      </c>
      <c r="SY15" s="18">
        <f t="shared" si="330"/>
        <v>5.7631171576555023</v>
      </c>
      <c r="SZ15" s="18">
        <v>96.578000000000003</v>
      </c>
      <c r="TA15" s="18">
        <f t="shared" si="331"/>
        <v>3.1050544696716549</v>
      </c>
      <c r="TB15" s="18">
        <v>110.657</v>
      </c>
      <c r="TC15" s="18">
        <f t="shared" si="332"/>
        <v>3.5577047821497265</v>
      </c>
      <c r="TD15" s="18">
        <v>121.021</v>
      </c>
      <c r="TE15" s="18">
        <f t="shared" si="333"/>
        <v>3.8909150839128301</v>
      </c>
      <c r="TF15" s="18">
        <v>78.646000000000001</v>
      </c>
      <c r="TG15" s="18">
        <f t="shared" si="334"/>
        <v>2.5285273439271569</v>
      </c>
      <c r="TH15" s="18">
        <v>145.20099999999999</v>
      </c>
      <c r="TI15" s="18">
        <f t="shared" si="335"/>
        <v>4.6683200527117341</v>
      </c>
      <c r="TJ15" s="18">
        <v>107.622</v>
      </c>
      <c r="TK15" s="18">
        <f t="shared" si="336"/>
        <v>3.4601272767607822</v>
      </c>
      <c r="TL15" s="18">
        <v>102.919</v>
      </c>
      <c r="TM15" s="18">
        <f t="shared" si="337"/>
        <v>3.3089223318368264</v>
      </c>
      <c r="TN15" s="18">
        <v>134.74799999999999</v>
      </c>
      <c r="TO15" s="18">
        <f t="shared" si="338"/>
        <v>4.3322483348103722</v>
      </c>
      <c r="TP15" s="18">
        <v>115.711</v>
      </c>
      <c r="TQ15" s="18">
        <f t="shared" si="339"/>
        <v>3.7201946379110855</v>
      </c>
      <c r="TR15" s="18">
        <v>171.59399999999999</v>
      </c>
      <c r="TS15" s="18">
        <f t="shared" si="340"/>
        <v>5.5168746160495958</v>
      </c>
      <c r="TT15" s="18">
        <v>110.77</v>
      </c>
      <c r="TU15" s="2">
        <f t="shared" si="341"/>
        <v>3.5613378161230216</v>
      </c>
      <c r="TV15" s="17">
        <v>116.333</v>
      </c>
      <c r="TW15" s="18">
        <f t="shared" si="342"/>
        <v>3.740192400135772</v>
      </c>
      <c r="TX15" s="18"/>
      <c r="TY15" s="18">
        <f t="shared" si="343"/>
        <v>0</v>
      </c>
      <c r="TZ15" s="18"/>
      <c r="UA15" s="2">
        <f t="shared" si="344"/>
        <v>0</v>
      </c>
      <c r="UB15" s="18"/>
      <c r="UC15" s="18">
        <f t="shared" si="345"/>
        <v>0</v>
      </c>
      <c r="UD15" s="18"/>
      <c r="UE15" s="18">
        <f t="shared" si="346"/>
        <v>0</v>
      </c>
      <c r="UF15" s="18"/>
      <c r="UG15" s="2">
        <f t="shared" si="347"/>
        <v>0</v>
      </c>
      <c r="UH15" s="18"/>
      <c r="UI15" s="18">
        <f t="shared" si="348"/>
        <v>0</v>
      </c>
      <c r="UJ15" s="18"/>
      <c r="UK15" s="18">
        <f t="shared" si="349"/>
        <v>0</v>
      </c>
      <c r="UL15" s="18"/>
      <c r="UM15" s="2">
        <f t="shared" si="350"/>
        <v>0</v>
      </c>
      <c r="UN15" s="18"/>
      <c r="UO15" s="18">
        <f t="shared" si="351"/>
        <v>0</v>
      </c>
      <c r="UP15" s="18"/>
      <c r="UQ15" s="18">
        <f t="shared" si="352"/>
        <v>0</v>
      </c>
      <c r="UR15" s="18"/>
      <c r="US15" s="2">
        <f t="shared" si="353"/>
        <v>0</v>
      </c>
      <c r="UT15" s="18"/>
      <c r="UU15" s="18">
        <f t="shared" si="354"/>
        <v>0</v>
      </c>
      <c r="UV15" s="18"/>
      <c r="UW15" s="18">
        <f t="shared" si="355"/>
        <v>0</v>
      </c>
      <c r="UX15" s="18"/>
      <c r="UY15" s="2">
        <f t="shared" si="356"/>
        <v>0</v>
      </c>
    </row>
    <row r="16" spans="2:587" x14ac:dyDescent="0.2">
      <c r="B16" s="44"/>
      <c r="C16" s="23" t="s">
        <v>10</v>
      </c>
      <c r="D16" s="17">
        <v>1.0580000000000001</v>
      </c>
      <c r="E16" s="17">
        <v>3.4000000000000002E-2</v>
      </c>
      <c r="F16" s="17">
        <v>1.083</v>
      </c>
      <c r="G16" s="22">
        <v>3.5000000000000003E-2</v>
      </c>
      <c r="H16" s="17">
        <v>1.034</v>
      </c>
      <c r="I16" s="18">
        <f>H16/31.10348013</f>
        <v>3.3243868392806755E-2</v>
      </c>
      <c r="J16" s="17">
        <v>1.04</v>
      </c>
      <c r="K16" s="18">
        <f>J16/31.10348013</f>
        <v>3.3436772851565794E-2</v>
      </c>
      <c r="L16" s="17">
        <v>1.1819999999999999</v>
      </c>
      <c r="M16" s="18">
        <f>L16/31.10348013</f>
        <v>3.8002178375529577E-2</v>
      </c>
      <c r="N16" s="17">
        <v>1.0720000000000001</v>
      </c>
      <c r="O16" s="18">
        <f>N16/31.10348013</f>
        <v>3.4465596631613971E-2</v>
      </c>
      <c r="P16" s="17">
        <v>1.0449999999999999</v>
      </c>
      <c r="Q16" s="18">
        <f>P16/31.10348013</f>
        <v>3.3597526567198312E-2</v>
      </c>
      <c r="R16" s="17">
        <v>1.2110000000000001</v>
      </c>
      <c r="S16" s="18">
        <f>R16/31.10348013</f>
        <v>3.8934549926198242E-2</v>
      </c>
      <c r="T16" s="17">
        <v>1.1060000000000001</v>
      </c>
      <c r="U16" s="18">
        <f t="shared" ref="U16:AK16" si="362">T16/31.10348013</f>
        <v>3.555872189791516E-2</v>
      </c>
      <c r="V16" s="17">
        <v>1.091</v>
      </c>
      <c r="W16" s="18">
        <f t="shared" si="362"/>
        <v>3.5076460751017571E-2</v>
      </c>
      <c r="X16" s="17">
        <v>1.0820000000000001</v>
      </c>
      <c r="Y16" s="18">
        <f t="shared" si="362"/>
        <v>3.4787104062879028E-2</v>
      </c>
      <c r="Z16" s="17">
        <v>1.1519999999999999</v>
      </c>
      <c r="AA16" s="18">
        <f t="shared" si="362"/>
        <v>3.7037656081734413E-2</v>
      </c>
      <c r="AB16" s="17">
        <v>1.0069999999999999</v>
      </c>
      <c r="AC16" s="18">
        <f t="shared" si="362"/>
        <v>3.2375798328391103E-2</v>
      </c>
      <c r="AD16" s="17">
        <v>1.0920000000000001</v>
      </c>
      <c r="AE16" s="18">
        <f t="shared" si="362"/>
        <v>3.5108611494144078E-2</v>
      </c>
      <c r="AF16" s="17">
        <v>1.046</v>
      </c>
      <c r="AG16" s="18">
        <f t="shared" si="362"/>
        <v>3.3629677310324825E-2</v>
      </c>
      <c r="AH16" s="17">
        <v>1.103</v>
      </c>
      <c r="AI16" s="18">
        <f t="shared" si="362"/>
        <v>3.5462269668535641E-2</v>
      </c>
      <c r="AJ16" s="17">
        <v>1.1359999999999999</v>
      </c>
      <c r="AK16" s="18">
        <f t="shared" si="362"/>
        <v>3.6523244191710318E-2</v>
      </c>
      <c r="AL16" s="17">
        <v>1.1399999999999999</v>
      </c>
      <c r="AM16" s="18">
        <f t="shared" ref="AM16:BI16" si="363">AL16/31.10348013</f>
        <v>3.6651847164216343E-2</v>
      </c>
      <c r="AN16" s="17">
        <v>1.028</v>
      </c>
      <c r="AO16" s="18">
        <f t="shared" si="363"/>
        <v>3.3050963934047724E-2</v>
      </c>
      <c r="AP16" s="17">
        <v>1.1100000000000001</v>
      </c>
      <c r="AQ16" s="18">
        <f t="shared" si="363"/>
        <v>3.5687324870421179E-2</v>
      </c>
      <c r="AR16" s="17">
        <v>1.01</v>
      </c>
      <c r="AS16" s="18">
        <f t="shared" si="363"/>
        <v>3.2472250557770622E-2</v>
      </c>
      <c r="AT16" s="18">
        <v>1.056</v>
      </c>
      <c r="AU16" s="18">
        <f t="shared" si="363"/>
        <v>3.3951184741589882E-2</v>
      </c>
      <c r="AV16" s="17">
        <v>1.0880000000000001</v>
      </c>
      <c r="AW16" s="18">
        <f t="shared" si="363"/>
        <v>3.4980008521638059E-2</v>
      </c>
      <c r="AX16" s="18">
        <v>0.98899999999999999</v>
      </c>
      <c r="AY16" s="18">
        <f t="shared" si="363"/>
        <v>3.1797084952114002E-2</v>
      </c>
      <c r="AZ16" s="17">
        <v>1.0649999999999999</v>
      </c>
      <c r="BA16" s="18">
        <f t="shared" si="363"/>
        <v>3.4240541429728426E-2</v>
      </c>
      <c r="BB16" s="17">
        <v>1.012</v>
      </c>
      <c r="BC16" s="18">
        <f t="shared" si="363"/>
        <v>3.2536552044023635E-2</v>
      </c>
      <c r="BD16" s="18">
        <v>1.0269999999999999</v>
      </c>
      <c r="BE16" s="18">
        <f t="shared" si="363"/>
        <v>3.301881319092121E-2</v>
      </c>
      <c r="BF16" s="17">
        <v>1.0409999999999999</v>
      </c>
      <c r="BG16" s="18">
        <f t="shared" si="363"/>
        <v>3.3468923594692293E-2</v>
      </c>
      <c r="BH16" s="17">
        <v>1.044</v>
      </c>
      <c r="BI16" s="18">
        <f t="shared" si="363"/>
        <v>3.3565375824071812E-2</v>
      </c>
      <c r="BJ16" s="17">
        <v>1.0429999999999999</v>
      </c>
      <c r="BK16" s="18">
        <f>BJ16/31.10348013</f>
        <v>3.3533225080945306E-2</v>
      </c>
      <c r="BL16" s="17">
        <v>1.024</v>
      </c>
      <c r="BM16" s="18">
        <f t="shared" ref="BM16:BS16" si="364">BL16/31.10348013</f>
        <v>3.2922360961541698E-2</v>
      </c>
      <c r="BN16" s="17">
        <v>1.052</v>
      </c>
      <c r="BO16" s="18">
        <f t="shared" si="364"/>
        <v>3.3822581769083856E-2</v>
      </c>
      <c r="BP16" s="17">
        <v>1.0109999999999999</v>
      </c>
      <c r="BQ16" s="18">
        <f t="shared" si="364"/>
        <v>3.2504401300897122E-2</v>
      </c>
      <c r="BR16" s="17">
        <v>1.0209999999999999</v>
      </c>
      <c r="BS16" s="18">
        <f t="shared" si="364"/>
        <v>3.2825908732162179E-2</v>
      </c>
      <c r="BT16" s="17">
        <v>1.038</v>
      </c>
      <c r="BU16" s="18">
        <f t="shared" ref="BU16:CC16" si="365">BT16/31.10348013</f>
        <v>3.3372471365312781E-2</v>
      </c>
      <c r="BV16" s="17">
        <v>1.0109999999999999</v>
      </c>
      <c r="BW16" s="18">
        <f t="shared" si="365"/>
        <v>3.2504401300897122E-2</v>
      </c>
      <c r="BX16" s="17">
        <v>1.03</v>
      </c>
      <c r="BY16" s="18">
        <f t="shared" si="365"/>
        <v>3.3115265420300737E-2</v>
      </c>
      <c r="BZ16" s="17">
        <v>1.032</v>
      </c>
      <c r="CA16" s="18">
        <f t="shared" si="365"/>
        <v>3.3179566906553742E-2</v>
      </c>
      <c r="CB16" s="17">
        <v>1.02</v>
      </c>
      <c r="CC16" s="18">
        <f t="shared" si="365"/>
        <v>3.279375798903568E-2</v>
      </c>
      <c r="CD16" s="17">
        <v>1.032</v>
      </c>
      <c r="CE16" s="18">
        <f>CD16/31.10348013</f>
        <v>3.3179566906553742E-2</v>
      </c>
      <c r="CF16" s="17">
        <v>1.0229999999999999</v>
      </c>
      <c r="CG16" s="18">
        <f>CF16/31.10348013</f>
        <v>3.2890210218415192E-2</v>
      </c>
      <c r="CH16" s="17">
        <v>0.94499999999999995</v>
      </c>
      <c r="CI16" s="18">
        <f>CH16/31.10348013</f>
        <v>3.0382452254547759E-2</v>
      </c>
      <c r="CJ16" s="17">
        <v>1.032</v>
      </c>
      <c r="CK16" s="18">
        <f>CJ16/31.10348013</f>
        <v>3.3179566906553742E-2</v>
      </c>
      <c r="CL16" s="17">
        <v>1.0229999999999999</v>
      </c>
      <c r="CM16" s="18">
        <f>CL16/31.10348013</f>
        <v>3.2890210218415192E-2</v>
      </c>
      <c r="CN16" s="17">
        <v>0.997</v>
      </c>
      <c r="CO16" s="18">
        <f>CN16/31.10348013</f>
        <v>3.2054290897126046E-2</v>
      </c>
      <c r="CP16" s="17">
        <v>1.052</v>
      </c>
      <c r="CQ16" s="18">
        <f>CP16/31.10348013</f>
        <v>3.3822581769083856E-2</v>
      </c>
      <c r="CR16" s="17">
        <v>1.01</v>
      </c>
      <c r="CS16" s="18">
        <f>CR16/31.10348013</f>
        <v>3.2472250557770622E-2</v>
      </c>
      <c r="CT16" s="17">
        <v>1.01</v>
      </c>
      <c r="CU16" s="18">
        <f>CT16/31.10348013</f>
        <v>3.2472250557770622E-2</v>
      </c>
      <c r="CV16" s="17"/>
      <c r="CW16" s="17"/>
      <c r="CX16" s="17"/>
      <c r="CY16" s="17"/>
      <c r="CZ16" s="17"/>
      <c r="DA16" s="17"/>
      <c r="DB16" s="17"/>
      <c r="DC16" s="17"/>
      <c r="DD16" s="17"/>
      <c r="DE16" s="17"/>
      <c r="DF16" s="17"/>
      <c r="DG16" s="17"/>
      <c r="DH16" s="17"/>
      <c r="DI16" s="17"/>
      <c r="DJ16" s="17"/>
      <c r="DK16" s="17"/>
      <c r="DL16" s="17"/>
      <c r="DM16" s="17"/>
      <c r="DN16" s="17"/>
      <c r="DO16" s="17"/>
      <c r="DP16" s="17"/>
      <c r="DQ16" s="17"/>
      <c r="DR16" s="17"/>
      <c r="DS16" s="17"/>
      <c r="DT16" s="17"/>
      <c r="DU16" s="17"/>
      <c r="DV16" s="17">
        <v>0.91100000000000003</v>
      </c>
      <c r="DW16" s="18">
        <f>DV16/31.10348013</f>
        <v>2.9289326988246572E-2</v>
      </c>
      <c r="DX16" s="17">
        <v>0.92200000000000004</v>
      </c>
      <c r="DY16" s="18">
        <f>DX16/31.10348013</f>
        <v>2.9642985162638132E-2</v>
      </c>
      <c r="DZ16" s="17">
        <v>0.66500000000000004</v>
      </c>
      <c r="EA16" s="18">
        <f>DZ16/31.10348013</f>
        <v>2.1380244179126203E-2</v>
      </c>
      <c r="EB16" s="17">
        <v>0.79200000000000004</v>
      </c>
      <c r="EC16" s="18">
        <f>EB16/31.10348013</f>
        <v>2.5463388556192408E-2</v>
      </c>
      <c r="ED16" s="17">
        <v>0.97199999999999998</v>
      </c>
      <c r="EE16" s="18">
        <f>ED16/31.10348013</f>
        <v>3.1250522318963407E-2</v>
      </c>
      <c r="EF16" s="17">
        <v>1.022</v>
      </c>
      <c r="EG16" s="18">
        <f>EF16/31.10348013</f>
        <v>3.2858059475288692E-2</v>
      </c>
      <c r="EH16" s="17">
        <v>1.0449999999999999</v>
      </c>
      <c r="EI16" s="18">
        <f>EH16/31.10348013</f>
        <v>3.3597526567198312E-2</v>
      </c>
      <c r="EJ16" s="17">
        <v>1.0329999999999999</v>
      </c>
      <c r="EK16" s="18">
        <f>EJ16/31.10348013</f>
        <v>3.3211717649680249E-2</v>
      </c>
      <c r="EL16" s="17">
        <v>1.0329999999999999</v>
      </c>
      <c r="EM16" s="18">
        <f>EL16/31.10348013</f>
        <v>3.3211717649680249E-2</v>
      </c>
      <c r="EN16" s="17">
        <v>1.028</v>
      </c>
      <c r="EO16" s="18">
        <f>EN16/31.10348013</f>
        <v>3.3050963934047724E-2</v>
      </c>
      <c r="EP16" s="17">
        <v>1.048</v>
      </c>
      <c r="EQ16" s="18">
        <f>EP16/31.10348013</f>
        <v>3.3693978796577838E-2</v>
      </c>
      <c r="ER16" s="17">
        <v>0.995</v>
      </c>
      <c r="ES16" s="18">
        <f>ER16/31.10348013</f>
        <v>3.198998941087304E-2</v>
      </c>
      <c r="ET16" s="17">
        <v>1.022</v>
      </c>
      <c r="EU16" s="18">
        <f>ET16/31.10348013</f>
        <v>3.2858059475288692E-2</v>
      </c>
      <c r="EV16" s="17">
        <v>1.01</v>
      </c>
      <c r="EW16" s="18">
        <f>EV16/31.10348013</f>
        <v>3.2472250557770622E-2</v>
      </c>
      <c r="EX16" s="17">
        <v>1.036</v>
      </c>
      <c r="EY16" s="18">
        <f>EX16/31.10348013</f>
        <v>3.3308169879059768E-2</v>
      </c>
      <c r="EZ16" s="17">
        <v>1.0049999999999999</v>
      </c>
      <c r="FA16" s="18">
        <f>EZ16/31.10348013</f>
        <v>3.231149684213809E-2</v>
      </c>
      <c r="FB16" s="17">
        <v>1.0469999999999999</v>
      </c>
      <c r="FC16" s="18">
        <f>FB16/31.10348013</f>
        <v>3.3661828053451325E-2</v>
      </c>
      <c r="FD16" s="17">
        <v>1.044</v>
      </c>
      <c r="FE16" s="18">
        <f>FD16/31.10348013</f>
        <v>3.3565375824071812E-2</v>
      </c>
      <c r="FF16" s="17">
        <v>1.026</v>
      </c>
      <c r="FG16" s="18">
        <f>FF16/31.10348013</f>
        <v>3.2986662447794711E-2</v>
      </c>
      <c r="FH16" s="17">
        <v>1.038</v>
      </c>
      <c r="FI16" s="18">
        <f>FH16/31.10348013</f>
        <v>3.3372471365312781E-2</v>
      </c>
      <c r="FJ16" s="17">
        <v>1.0720000000000001</v>
      </c>
      <c r="FK16" s="18">
        <f>FJ16/31.10348013</f>
        <v>3.4465596631613971E-2</v>
      </c>
      <c r="FL16" s="17">
        <v>1.0820000000000001</v>
      </c>
      <c r="FM16" s="18">
        <f>FL16/31.10348013</f>
        <v>3.4787104062879028E-2</v>
      </c>
      <c r="FN16" s="17">
        <v>1.0820000000000001</v>
      </c>
      <c r="FO16" s="18">
        <f>FN16/31.10348013</f>
        <v>3.4787104062879028E-2</v>
      </c>
      <c r="FP16" s="17">
        <v>1.07</v>
      </c>
      <c r="FQ16" s="18">
        <f>FP16/31.10348013</f>
        <v>3.4401295145360958E-2</v>
      </c>
      <c r="FR16" s="17">
        <v>1.079</v>
      </c>
      <c r="FS16" s="18">
        <f>FR16/31.10348013</f>
        <v>3.4690651833499501E-2</v>
      </c>
      <c r="FT16" s="17">
        <v>1.0509999999999999</v>
      </c>
      <c r="FU16" s="18">
        <f>FT16/31.10348013</f>
        <v>3.379043102595735E-2</v>
      </c>
      <c r="FV16" s="17">
        <v>1.0329999999999999</v>
      </c>
      <c r="FW16" s="18">
        <f>FV16/31.10348013</f>
        <v>3.3211717649680249E-2</v>
      </c>
      <c r="FX16" s="17">
        <v>1.085</v>
      </c>
      <c r="FY16" s="18">
        <f>FX16/31.10348013</f>
        <v>3.488355629225854E-2</v>
      </c>
      <c r="FZ16" s="17">
        <v>1.091</v>
      </c>
      <c r="GA16" s="18">
        <f>FZ16/31.10348013</f>
        <v>3.5076460751017571E-2</v>
      </c>
      <c r="GB16" s="17">
        <v>0.98899999999999999</v>
      </c>
      <c r="GC16" s="18">
        <f>GB16/31.10348013</f>
        <v>3.1797084952114002E-2</v>
      </c>
      <c r="GD16" s="17">
        <v>1.0209999999999999</v>
      </c>
      <c r="GE16" s="18">
        <f>GD16/31.10348013</f>
        <v>3.2825908732162179E-2</v>
      </c>
      <c r="GF16" s="17">
        <v>1.1060000000000001</v>
      </c>
      <c r="GG16" s="18">
        <f>GF16/31.10348013</f>
        <v>3.555872189791516E-2</v>
      </c>
      <c r="GH16" s="17">
        <v>0.93300000000000005</v>
      </c>
      <c r="GI16" s="18">
        <f>GH16/31.10348013</f>
        <v>2.9996643337029696E-2</v>
      </c>
      <c r="GJ16" s="17">
        <v>1.069</v>
      </c>
      <c r="GK16" s="18">
        <f>GJ16/31.10348013</f>
        <v>3.4369144402234451E-2</v>
      </c>
      <c r="GL16" s="17">
        <v>1.101</v>
      </c>
      <c r="GM16" s="18">
        <f>GL16/31.10348013</f>
        <v>3.5397968182282628E-2</v>
      </c>
      <c r="GN16" s="17">
        <v>1.0509999999999999</v>
      </c>
      <c r="GO16" s="18">
        <f>GN16/31.10348013</f>
        <v>3.379043102595735E-2</v>
      </c>
      <c r="GP16" s="17">
        <v>0.90900000000000003</v>
      </c>
      <c r="GQ16" s="18">
        <f>GP16/31.10348013</f>
        <v>2.922502550199356E-2</v>
      </c>
      <c r="GR16" s="17">
        <v>1.006</v>
      </c>
      <c r="GS16" s="18">
        <f>GR16/31.10348013</f>
        <v>3.2343647585264597E-2</v>
      </c>
      <c r="GT16" s="17">
        <v>0.88700000000000001</v>
      </c>
      <c r="GU16" s="18">
        <f>GT16/31.10348013</f>
        <v>2.8517709153210436E-2</v>
      </c>
      <c r="GV16" s="17">
        <v>1.008</v>
      </c>
      <c r="GW16" s="18">
        <f>GV16/31.10348013</f>
        <v>3.240794907151761E-2</v>
      </c>
      <c r="GX16" s="17">
        <v>0.97699999999999998</v>
      </c>
      <c r="GY16" s="18">
        <f>GX16/31.10348013</f>
        <v>3.1411276034595939E-2</v>
      </c>
      <c r="GZ16" s="17">
        <v>1.0580000000000001</v>
      </c>
      <c r="HA16" s="18">
        <f>GZ16/31.10348013</f>
        <v>3.4015486227842888E-2</v>
      </c>
      <c r="HB16" s="17">
        <v>1.054</v>
      </c>
      <c r="HC16" s="18">
        <f>HB16/31.10348013</f>
        <v>3.3886883255336869E-2</v>
      </c>
      <c r="HD16" s="17">
        <v>1.093</v>
      </c>
      <c r="HE16" s="18">
        <f>HD16/31.10348013</f>
        <v>3.5140762237270584E-2</v>
      </c>
      <c r="HF16" s="17">
        <v>1.133</v>
      </c>
      <c r="HG16" s="18">
        <f>HF16/31.10348013</f>
        <v>3.6426791962330805E-2</v>
      </c>
      <c r="HH16" s="17">
        <v>1.034</v>
      </c>
      <c r="HI16" s="18">
        <f>HH16/31.10348013</f>
        <v>3.3243868392806755E-2</v>
      </c>
      <c r="HJ16" s="17">
        <v>0.99</v>
      </c>
      <c r="HK16" s="18">
        <f t="shared" si="359"/>
        <v>3.1829235695240508E-2</v>
      </c>
      <c r="HL16" s="17">
        <v>1.03</v>
      </c>
      <c r="HM16" s="18">
        <f t="shared" si="360"/>
        <v>3.3115265420300737E-2</v>
      </c>
      <c r="HN16" s="17">
        <v>1.0489999999999999</v>
      </c>
      <c r="HO16" s="18">
        <f t="shared" si="361"/>
        <v>3.3726129539704337E-2</v>
      </c>
      <c r="HP16" s="17">
        <v>1.101</v>
      </c>
      <c r="HQ16" s="18">
        <f t="shared" si="357"/>
        <v>3.5397968182282628E-2</v>
      </c>
      <c r="HR16" s="17">
        <v>1.008</v>
      </c>
      <c r="HS16" s="18">
        <f t="shared" si="358"/>
        <v>3.240794907151761E-2</v>
      </c>
      <c r="HT16" s="17">
        <v>1.0409999999999999</v>
      </c>
      <c r="HU16" s="18">
        <f t="shared" si="185"/>
        <v>3.3468923594692293E-2</v>
      </c>
      <c r="HV16" s="17">
        <v>1.0229999999999999</v>
      </c>
      <c r="HW16" s="18">
        <f t="shared" si="186"/>
        <v>3.2890210218415192E-2</v>
      </c>
      <c r="HX16" s="17">
        <v>1.0149999999999999</v>
      </c>
      <c r="HY16" s="18">
        <f t="shared" si="187"/>
        <v>3.2633004273403148E-2</v>
      </c>
      <c r="HZ16" s="17">
        <v>1.032</v>
      </c>
      <c r="IA16" s="18">
        <f t="shared" si="188"/>
        <v>3.3179566906553742E-2</v>
      </c>
      <c r="IB16" s="17">
        <v>1.032</v>
      </c>
      <c r="IC16" s="18">
        <f t="shared" si="189"/>
        <v>3.3179566906553742E-2</v>
      </c>
      <c r="ID16" s="17">
        <v>1.03</v>
      </c>
      <c r="IE16" s="18">
        <f t="shared" si="190"/>
        <v>3.3115265420300737E-2</v>
      </c>
      <c r="IF16" s="17">
        <v>0.996</v>
      </c>
      <c r="IG16" s="18">
        <f t="shared" si="191"/>
        <v>3.2022140153999547E-2</v>
      </c>
      <c r="IH16" s="17">
        <v>1.0149999999999999</v>
      </c>
      <c r="II16" s="18">
        <f t="shared" si="192"/>
        <v>3.2633004273403148E-2</v>
      </c>
      <c r="IJ16" s="17">
        <v>1.0269999999999999</v>
      </c>
      <c r="IK16" s="18">
        <f t="shared" si="193"/>
        <v>3.301881319092121E-2</v>
      </c>
      <c r="IL16" s="17">
        <v>1.038</v>
      </c>
      <c r="IM16" s="18">
        <f t="shared" si="194"/>
        <v>3.3372471365312781E-2</v>
      </c>
      <c r="IN16" s="17">
        <v>0.90100000000000002</v>
      </c>
      <c r="IO16" s="18">
        <f t="shared" si="195"/>
        <v>2.8967819556981515E-2</v>
      </c>
      <c r="IP16" s="17">
        <v>1.0389999999999999</v>
      </c>
      <c r="IQ16" s="18">
        <f t="shared" si="196"/>
        <v>3.340462210843928E-2</v>
      </c>
      <c r="IR16" s="17">
        <v>1.0409999999999999</v>
      </c>
      <c r="IS16" s="18">
        <f t="shared" si="197"/>
        <v>3.3468923594692293E-2</v>
      </c>
      <c r="IT16" s="17">
        <v>0.92900000000000005</v>
      </c>
      <c r="IU16" s="18">
        <f t="shared" si="198"/>
        <v>2.9868040364523674E-2</v>
      </c>
      <c r="IV16" s="17">
        <v>1.022</v>
      </c>
      <c r="IW16" s="18">
        <f t="shared" si="199"/>
        <v>3.2858059475288692E-2</v>
      </c>
      <c r="IX16" s="17">
        <v>0.93700000000000006</v>
      </c>
      <c r="IY16" s="18">
        <f t="shared" si="200"/>
        <v>3.0125246309535718E-2</v>
      </c>
      <c r="IZ16" s="17">
        <v>1.087</v>
      </c>
      <c r="JA16" s="18">
        <f t="shared" si="201"/>
        <v>3.4947857778511553E-2</v>
      </c>
      <c r="JB16" s="17">
        <v>1.034</v>
      </c>
      <c r="JC16" s="18">
        <f t="shared" si="202"/>
        <v>3.3243868392806755E-2</v>
      </c>
      <c r="JD16" s="17">
        <v>0.97</v>
      </c>
      <c r="JE16" s="18">
        <f t="shared" si="203"/>
        <v>3.1186220832710398E-2</v>
      </c>
      <c r="JF16" s="17">
        <v>1.0629999999999999</v>
      </c>
      <c r="JG16" s="18">
        <f t="shared" si="204"/>
        <v>3.4176239943475413E-2</v>
      </c>
      <c r="JH16" s="17">
        <v>0.96199999999999997</v>
      </c>
      <c r="JI16" s="18">
        <f t="shared" si="205"/>
        <v>3.0929014887698354E-2</v>
      </c>
      <c r="JJ16" s="17">
        <v>1.0840000000000001</v>
      </c>
      <c r="JK16" s="18">
        <f t="shared" si="206"/>
        <v>3.4851405549132033E-2</v>
      </c>
      <c r="JL16" s="17">
        <v>1.006</v>
      </c>
      <c r="JM16" s="18">
        <f t="shared" si="207"/>
        <v>3.2343647585264597E-2</v>
      </c>
      <c r="JN16" s="17">
        <v>1.0249999999999999</v>
      </c>
      <c r="JO16" s="18">
        <f t="shared" si="208"/>
        <v>3.2954511704668205E-2</v>
      </c>
      <c r="JP16" s="17">
        <v>0.873</v>
      </c>
      <c r="JQ16" s="18">
        <f t="shared" si="209"/>
        <v>2.806759874943936E-2</v>
      </c>
      <c r="JR16" s="18">
        <v>1.06</v>
      </c>
      <c r="JS16" s="18">
        <f t="shared" si="210"/>
        <v>3.4079787714095901E-2</v>
      </c>
      <c r="JT16" s="17">
        <v>1.0780000000000001</v>
      </c>
      <c r="JU16" s="18">
        <f t="shared" si="211"/>
        <v>3.4658501090373002E-2</v>
      </c>
      <c r="JV16" s="17">
        <v>1.0589999999999999</v>
      </c>
      <c r="JW16" s="18">
        <f t="shared" si="212"/>
        <v>3.4047636970969394E-2</v>
      </c>
      <c r="JX16" s="17">
        <v>1.0629999999999999</v>
      </c>
      <c r="JY16" s="18">
        <f t="shared" si="213"/>
        <v>3.4176239943475413E-2</v>
      </c>
      <c r="JZ16" s="18">
        <v>1.0920000000000001</v>
      </c>
      <c r="KA16" s="18">
        <f t="shared" si="214"/>
        <v>3.5108611494144078E-2</v>
      </c>
      <c r="KB16" s="19">
        <v>1.06</v>
      </c>
      <c r="KC16" s="18">
        <f t="shared" si="215"/>
        <v>3.4079787714095901E-2</v>
      </c>
      <c r="KD16" s="18">
        <v>1.04</v>
      </c>
      <c r="KE16" s="18">
        <f t="shared" si="216"/>
        <v>3.3436772851565794E-2</v>
      </c>
      <c r="KF16" s="17">
        <v>1.07</v>
      </c>
      <c r="KG16" s="18">
        <f t="shared" si="217"/>
        <v>3.4401295145360958E-2</v>
      </c>
      <c r="KH16" s="17">
        <v>1.0309999999999999</v>
      </c>
      <c r="KI16" s="18">
        <f t="shared" si="218"/>
        <v>3.3147416163427236E-2</v>
      </c>
      <c r="KJ16" s="17">
        <v>1.0449999999999999</v>
      </c>
      <c r="KK16" s="18">
        <f t="shared" si="219"/>
        <v>3.3597526567198312E-2</v>
      </c>
      <c r="KL16" s="17">
        <v>1.0549999999999999</v>
      </c>
      <c r="KM16" s="18">
        <f t="shared" si="220"/>
        <v>3.3919033998463369E-2</v>
      </c>
      <c r="KN16" s="17">
        <v>1.03</v>
      </c>
      <c r="KO16" s="18">
        <f t="shared" si="221"/>
        <v>3.3115265420300737E-2</v>
      </c>
      <c r="KP16" s="17">
        <v>1.048</v>
      </c>
      <c r="KQ16" s="18">
        <f t="shared" si="222"/>
        <v>3.3693978796577838E-2</v>
      </c>
      <c r="KR16" s="17">
        <v>1.091</v>
      </c>
      <c r="KS16" s="18">
        <f t="shared" si="223"/>
        <v>3.5076460751017571E-2</v>
      </c>
      <c r="KT16" s="17">
        <v>1.093</v>
      </c>
      <c r="KU16" s="18">
        <f t="shared" si="224"/>
        <v>3.5140762237270584E-2</v>
      </c>
      <c r="KV16" s="17">
        <v>1.073</v>
      </c>
      <c r="KW16" s="18">
        <f t="shared" si="225"/>
        <v>3.449774737474047E-2</v>
      </c>
      <c r="KX16" s="17">
        <v>1.036</v>
      </c>
      <c r="KY16" s="18">
        <f t="shared" si="226"/>
        <v>3.3308169879059768E-2</v>
      </c>
      <c r="KZ16" s="17">
        <v>1.0960000000000001</v>
      </c>
      <c r="LA16" s="18">
        <f t="shared" si="227"/>
        <v>3.5237214466650103E-2</v>
      </c>
      <c r="LB16" s="17">
        <v>1.0329999999999999</v>
      </c>
      <c r="LC16" s="18">
        <f t="shared" si="228"/>
        <v>3.3211717649680249E-2</v>
      </c>
      <c r="LD16" s="17">
        <v>0.97899999999999998</v>
      </c>
      <c r="LE16" s="18">
        <f t="shared" si="229"/>
        <v>3.1475577520848952E-2</v>
      </c>
      <c r="LF16" s="18">
        <v>0.96</v>
      </c>
      <c r="LG16" s="18">
        <f t="shared" si="230"/>
        <v>3.0864713401445344E-2</v>
      </c>
      <c r="LH16" s="17">
        <v>1.022</v>
      </c>
      <c r="LI16" s="18">
        <f t="shared" si="231"/>
        <v>3.2858059475288692E-2</v>
      </c>
      <c r="LJ16" s="17">
        <v>1.056</v>
      </c>
      <c r="LK16" s="18">
        <f t="shared" si="232"/>
        <v>3.3951184741589882E-2</v>
      </c>
      <c r="LL16" s="17">
        <v>1.014</v>
      </c>
      <c r="LM16" s="18">
        <f t="shared" si="233"/>
        <v>3.2600853530276648E-2</v>
      </c>
      <c r="LN16" s="17">
        <v>1.0309999999999999</v>
      </c>
      <c r="LO16" s="18">
        <f t="shared" si="234"/>
        <v>3.3147416163427236E-2</v>
      </c>
      <c r="LP16" s="17">
        <v>1.095</v>
      </c>
      <c r="LQ16" s="18">
        <f t="shared" si="235"/>
        <v>3.5205063723523597E-2</v>
      </c>
      <c r="LR16" s="17">
        <v>1.0409999999999999</v>
      </c>
      <c r="LS16" s="18">
        <f t="shared" si="236"/>
        <v>3.3468923594692293E-2</v>
      </c>
      <c r="LT16" s="17">
        <v>1.044</v>
      </c>
      <c r="LU16" s="18">
        <f t="shared" si="237"/>
        <v>3.3565375824071812E-2</v>
      </c>
      <c r="LV16" s="17">
        <v>1.2190000000000001</v>
      </c>
      <c r="LW16" s="18">
        <f t="shared" si="238"/>
        <v>3.9191755871210286E-2</v>
      </c>
      <c r="LX16" s="17">
        <v>1.0329999999999999</v>
      </c>
      <c r="LY16" s="18">
        <f t="shared" si="239"/>
        <v>3.3211717649680249E-2</v>
      </c>
      <c r="LZ16" s="17">
        <v>1.0269999999999999</v>
      </c>
      <c r="MA16" s="18">
        <f t="shared" si="240"/>
        <v>3.301881319092121E-2</v>
      </c>
      <c r="MB16" s="17">
        <v>1.052</v>
      </c>
      <c r="MC16" s="18">
        <f t="shared" si="241"/>
        <v>3.3822581769083856E-2</v>
      </c>
      <c r="MD16" s="17">
        <v>1.016</v>
      </c>
      <c r="ME16" s="18">
        <f t="shared" si="242"/>
        <v>3.2665155016529654E-2</v>
      </c>
      <c r="MF16" s="17">
        <v>0.999</v>
      </c>
      <c r="MG16" s="18">
        <f t="shared" si="243"/>
        <v>3.2118592383379059E-2</v>
      </c>
      <c r="MH16" s="17">
        <v>1.01</v>
      </c>
      <c r="MI16" s="18">
        <f t="shared" si="244"/>
        <v>3.2472250557770622E-2</v>
      </c>
      <c r="MJ16" s="17">
        <v>0.95699999999999996</v>
      </c>
      <c r="MK16" s="18">
        <f t="shared" si="245"/>
        <v>3.0768261172065825E-2</v>
      </c>
      <c r="ML16" s="17">
        <v>0.997</v>
      </c>
      <c r="MM16" s="18">
        <f t="shared" si="246"/>
        <v>3.2054290897126046E-2</v>
      </c>
      <c r="MN16" s="17">
        <v>0.99099999999999999</v>
      </c>
      <c r="MO16" s="18">
        <f t="shared" si="247"/>
        <v>3.1861386438367015E-2</v>
      </c>
      <c r="MP16" s="17">
        <v>1.0620000000000001</v>
      </c>
      <c r="MQ16" s="18">
        <f t="shared" si="248"/>
        <v>3.4144089200348914E-2</v>
      </c>
      <c r="MR16" s="17">
        <v>1.1339999999999999</v>
      </c>
      <c r="MS16" s="18">
        <f t="shared" si="249"/>
        <v>3.6458942705457312E-2</v>
      </c>
      <c r="MT16" s="17">
        <v>1.0620000000000001</v>
      </c>
      <c r="MU16" s="18">
        <f t="shared" si="250"/>
        <v>3.4144089200348914E-2</v>
      </c>
      <c r="MV16" s="17">
        <v>1.018</v>
      </c>
      <c r="MW16" s="18">
        <f t="shared" si="251"/>
        <v>3.2729456502782667E-2</v>
      </c>
      <c r="MX16" s="17">
        <v>1.002</v>
      </c>
      <c r="MY16" s="18">
        <f t="shared" si="252"/>
        <v>3.2215044612758578E-2</v>
      </c>
      <c r="MZ16" s="17">
        <v>0.99</v>
      </c>
      <c r="NA16" s="18">
        <f t="shared" si="253"/>
        <v>3.1829235695240508E-2</v>
      </c>
      <c r="NB16" s="17">
        <v>0.93</v>
      </c>
      <c r="NC16" s="18">
        <f t="shared" si="254"/>
        <v>2.990019110765018E-2</v>
      </c>
      <c r="ND16" s="17">
        <v>1.091</v>
      </c>
      <c r="NE16" s="18">
        <f t="shared" si="255"/>
        <v>3.5076460751017571E-2</v>
      </c>
      <c r="NF16" s="17">
        <v>1.157</v>
      </c>
      <c r="NG16" s="18">
        <f t="shared" si="256"/>
        <v>3.7198409797366938E-2</v>
      </c>
      <c r="NH16" s="17">
        <v>1.046</v>
      </c>
      <c r="NI16" s="18">
        <f t="shared" si="257"/>
        <v>3.3629677310324825E-2</v>
      </c>
      <c r="NJ16" s="17">
        <v>1.0409999999999999</v>
      </c>
      <c r="NK16" s="18">
        <f t="shared" si="258"/>
        <v>3.3468923594692293E-2</v>
      </c>
      <c r="NL16" s="17">
        <v>1.0740000000000001</v>
      </c>
      <c r="NM16" s="18">
        <f t="shared" si="259"/>
        <v>3.4529898117866983E-2</v>
      </c>
      <c r="NN16" s="17">
        <v>1.03</v>
      </c>
      <c r="NO16" s="18">
        <f t="shared" si="260"/>
        <v>3.3115265420300737E-2</v>
      </c>
      <c r="NP16" s="17">
        <v>1.056</v>
      </c>
      <c r="NQ16" s="18">
        <f t="shared" si="261"/>
        <v>3.3951184741589882E-2</v>
      </c>
      <c r="NR16" s="17">
        <v>1.028</v>
      </c>
      <c r="NS16" s="18">
        <f t="shared" si="262"/>
        <v>3.3050963934047724E-2</v>
      </c>
      <c r="NT16" s="17">
        <v>1.079</v>
      </c>
      <c r="NU16" s="18">
        <f t="shared" si="263"/>
        <v>3.4690651833499501E-2</v>
      </c>
      <c r="NV16" s="17">
        <v>1.0349999999999999</v>
      </c>
      <c r="NW16" s="18">
        <f t="shared" si="264"/>
        <v>3.3276019135933262E-2</v>
      </c>
      <c r="NX16" s="17">
        <v>1.0389999999999999</v>
      </c>
      <c r="NY16" s="18">
        <f t="shared" si="265"/>
        <v>3.340462210843928E-2</v>
      </c>
      <c r="NZ16" s="17">
        <v>1.075</v>
      </c>
      <c r="OA16" s="18">
        <f t="shared" si="266"/>
        <v>3.4562048860993483E-2</v>
      </c>
      <c r="OB16" s="17">
        <v>0.95399999999999996</v>
      </c>
      <c r="OC16" s="18">
        <f t="shared" si="267"/>
        <v>3.0671808942686309E-2</v>
      </c>
      <c r="OD16" s="17">
        <v>1.077</v>
      </c>
      <c r="OE16" s="18">
        <f t="shared" si="268"/>
        <v>3.4626350347246496E-2</v>
      </c>
      <c r="OF16" s="17">
        <v>0.98099999999999998</v>
      </c>
      <c r="OG16" s="18">
        <f t="shared" si="269"/>
        <v>3.1539879007101958E-2</v>
      </c>
      <c r="OH16" s="17">
        <v>1.056</v>
      </c>
      <c r="OI16" s="18">
        <f t="shared" si="270"/>
        <v>3.3951184741589882E-2</v>
      </c>
      <c r="OJ16" s="17">
        <v>0.98099999999999998</v>
      </c>
      <c r="OK16" s="18">
        <f t="shared" si="271"/>
        <v>3.1539879007101958E-2</v>
      </c>
      <c r="OL16" s="17">
        <v>1.0429999999999999</v>
      </c>
      <c r="OM16" s="18">
        <f t="shared" si="272"/>
        <v>3.3533225080945306E-2</v>
      </c>
      <c r="ON16" s="17">
        <v>1.0960000000000001</v>
      </c>
      <c r="OO16" s="18">
        <f t="shared" si="273"/>
        <v>3.5237214466650103E-2</v>
      </c>
      <c r="OP16" s="17">
        <v>1.081</v>
      </c>
      <c r="OQ16" s="18">
        <f t="shared" si="274"/>
        <v>3.4754953319752514E-2</v>
      </c>
      <c r="OR16" s="17">
        <v>1.0580000000000001</v>
      </c>
      <c r="OS16" s="18">
        <f t="shared" si="275"/>
        <v>3.4015486227842888E-2</v>
      </c>
      <c r="OT16" s="17">
        <v>1.054</v>
      </c>
      <c r="OU16" s="18">
        <f t="shared" si="276"/>
        <v>3.3886883255336869E-2</v>
      </c>
      <c r="OV16" s="17">
        <v>1.0449999999999999</v>
      </c>
      <c r="OW16" s="18">
        <f t="shared" si="277"/>
        <v>3.3597526567198312E-2</v>
      </c>
      <c r="OX16" s="17">
        <v>1.01</v>
      </c>
      <c r="OY16" s="18">
        <f t="shared" si="278"/>
        <v>3.2472250557770622E-2</v>
      </c>
      <c r="OZ16" s="17">
        <v>1.034</v>
      </c>
      <c r="PA16" s="18">
        <f t="shared" si="279"/>
        <v>3.3243868392806755E-2</v>
      </c>
      <c r="PB16" s="17">
        <v>1.0880000000000001</v>
      </c>
      <c r="PC16" s="18">
        <f t="shared" si="280"/>
        <v>3.4980008521638059E-2</v>
      </c>
      <c r="PD16" s="17">
        <v>1.042</v>
      </c>
      <c r="PE16" s="18">
        <f t="shared" si="281"/>
        <v>3.3501074337818799E-2</v>
      </c>
      <c r="PF16" s="17">
        <v>1.0620000000000001</v>
      </c>
      <c r="PG16" s="18">
        <f t="shared" si="282"/>
        <v>3.4144089200348914E-2</v>
      </c>
      <c r="PH16" s="17">
        <v>1.0629999999999999</v>
      </c>
      <c r="PI16" s="18">
        <f t="shared" si="283"/>
        <v>3.4176239943475413E-2</v>
      </c>
      <c r="PJ16" s="17">
        <v>1.048</v>
      </c>
      <c r="PK16" s="18">
        <f t="shared" si="284"/>
        <v>3.3693978796577838E-2</v>
      </c>
      <c r="PL16" s="17">
        <v>1.0469999999999999</v>
      </c>
      <c r="PM16" s="18">
        <f t="shared" si="285"/>
        <v>3.3661828053451325E-2</v>
      </c>
      <c r="PN16" s="17">
        <v>1.0449999999999999</v>
      </c>
      <c r="PO16" s="18">
        <f t="shared" si="286"/>
        <v>3.3597526567198312E-2</v>
      </c>
      <c r="PP16" s="17">
        <v>1.1040000000000001</v>
      </c>
      <c r="PQ16" s="18">
        <f t="shared" si="287"/>
        <v>3.5494420411662148E-2</v>
      </c>
      <c r="PR16" s="17">
        <v>1.038</v>
      </c>
      <c r="PS16" s="18">
        <f t="shared" si="288"/>
        <v>3.3372471365312781E-2</v>
      </c>
      <c r="PT16" s="17">
        <v>0.96299999999999997</v>
      </c>
      <c r="PU16" s="18">
        <f t="shared" si="289"/>
        <v>3.096116563082486E-2</v>
      </c>
      <c r="PV16" s="17">
        <v>1.0089999999999999</v>
      </c>
      <c r="PW16" s="18">
        <f t="shared" si="290"/>
        <v>3.2440099814644116E-2</v>
      </c>
      <c r="PX16" s="17">
        <v>0.96699999999999997</v>
      </c>
      <c r="PY16" s="18">
        <f t="shared" si="291"/>
        <v>3.1089768603330882E-2</v>
      </c>
      <c r="PZ16" s="17">
        <v>0.83699999999999997</v>
      </c>
      <c r="QA16" s="18">
        <f t="shared" si="292"/>
        <v>2.6910171996885158E-2</v>
      </c>
      <c r="QB16" s="17">
        <v>0.71599999999999997</v>
      </c>
      <c r="QC16" s="18">
        <f t="shared" si="293"/>
        <v>2.3019932078577984E-2</v>
      </c>
      <c r="QD16" s="17">
        <v>0.88100000000000001</v>
      </c>
      <c r="QE16" s="18">
        <f t="shared" si="294"/>
        <v>2.8324804694451405E-2</v>
      </c>
      <c r="QF16" s="17">
        <v>0.51600000000000001</v>
      </c>
      <c r="QG16" s="18">
        <f t="shared" si="295"/>
        <v>1.6589783453276871E-2</v>
      </c>
      <c r="QH16" s="17">
        <v>0.79700000000000004</v>
      </c>
      <c r="QI16" s="18">
        <f t="shared" si="296"/>
        <v>2.5624142271824937E-2</v>
      </c>
      <c r="QJ16" s="17">
        <v>0.78200000000000003</v>
      </c>
      <c r="QK16" s="18">
        <f t="shared" si="297"/>
        <v>2.5141881124927355E-2</v>
      </c>
      <c r="QL16" s="17">
        <v>0.73799999999999999</v>
      </c>
      <c r="QM16" s="18">
        <f t="shared" si="298"/>
        <v>2.3727248427361108E-2</v>
      </c>
      <c r="QN16" s="17">
        <v>0.79900000000000004</v>
      </c>
      <c r="QO16" s="18">
        <f t="shared" si="299"/>
        <v>2.5688443758077949E-2</v>
      </c>
      <c r="QP16" s="17">
        <v>0.61299999999999999</v>
      </c>
      <c r="QQ16" s="18">
        <f t="shared" si="300"/>
        <v>1.9708405536547912E-2</v>
      </c>
      <c r="QR16" s="17">
        <v>0.51500000000000001</v>
      </c>
      <c r="QS16" s="18">
        <f t="shared" si="301"/>
        <v>1.6557632710150368E-2</v>
      </c>
      <c r="QT16" s="17">
        <v>0.61699999999999999</v>
      </c>
      <c r="QU16" s="18">
        <f t="shared" si="302"/>
        <v>1.9837008509053934E-2</v>
      </c>
      <c r="QV16" s="17">
        <v>0.63</v>
      </c>
      <c r="QW16" s="18">
        <f t="shared" si="303"/>
        <v>2.0254968169698507E-2</v>
      </c>
      <c r="QX16" s="17">
        <v>0.58699999999999997</v>
      </c>
      <c r="QY16" s="18">
        <f t="shared" si="304"/>
        <v>1.8872486215258766E-2</v>
      </c>
      <c r="QZ16" s="17">
        <v>0.45900000000000002</v>
      </c>
      <c r="RA16" s="18">
        <f t="shared" si="305"/>
        <v>1.4757191095066055E-2</v>
      </c>
      <c r="RB16" s="17">
        <v>0.51200000000000001</v>
      </c>
      <c r="RC16" s="18">
        <f t="shared" si="306"/>
        <v>1.6461180480770849E-2</v>
      </c>
      <c r="RD16" s="17">
        <v>0.52100000000000002</v>
      </c>
      <c r="RE16" s="18">
        <f t="shared" si="307"/>
        <v>1.67505371689094E-2</v>
      </c>
      <c r="RF16" s="17">
        <v>0.501</v>
      </c>
      <c r="RG16" s="18">
        <f t="shared" si="308"/>
        <v>1.6107522306379289E-2</v>
      </c>
      <c r="RH16" s="17">
        <v>0.624</v>
      </c>
      <c r="RI16" s="18">
        <f t="shared" si="309"/>
        <v>2.0062063710939472E-2</v>
      </c>
      <c r="RJ16" s="17">
        <v>0.68799999999999994</v>
      </c>
      <c r="RK16" s="18">
        <f t="shared" si="310"/>
        <v>2.2119711271035829E-2</v>
      </c>
      <c r="RL16" s="17">
        <v>0.67700000000000005</v>
      </c>
      <c r="RM16" s="18">
        <f t="shared" si="311"/>
        <v>2.1766053096644269E-2</v>
      </c>
      <c r="RN16" s="17">
        <v>0.61499999999999999</v>
      </c>
      <c r="RO16" s="18">
        <f t="shared" si="312"/>
        <v>1.9772707022800921E-2</v>
      </c>
      <c r="RP16" s="17">
        <v>0.59199999999999997</v>
      </c>
      <c r="RQ16" s="18">
        <f t="shared" si="313"/>
        <v>1.9033239930891295E-2</v>
      </c>
      <c r="RR16" s="17">
        <v>0.60399999999999998</v>
      </c>
      <c r="RS16" s="18">
        <f t="shared" si="314"/>
        <v>1.9419048848409361E-2</v>
      </c>
      <c r="RT16" s="17">
        <v>0.60399999999999998</v>
      </c>
      <c r="RU16" s="18">
        <f t="shared" si="315"/>
        <v>1.9419048848409361E-2</v>
      </c>
      <c r="RV16" s="17">
        <v>0.65</v>
      </c>
      <c r="RW16" s="18">
        <f t="shared" si="316"/>
        <v>2.0897983032228618E-2</v>
      </c>
      <c r="RX16" s="18">
        <v>0.69</v>
      </c>
      <c r="RY16" s="18">
        <f t="shared" si="317"/>
        <v>2.2184012757288839E-2</v>
      </c>
      <c r="RZ16" s="17">
        <v>0.72199999999999998</v>
      </c>
      <c r="SA16" s="18">
        <f t="shared" si="318"/>
        <v>2.3212836537337019E-2</v>
      </c>
      <c r="SB16" s="17">
        <v>0.53600000000000003</v>
      </c>
      <c r="SC16" s="18">
        <f t="shared" si="319"/>
        <v>1.7232798315806985E-2</v>
      </c>
      <c r="SD16" s="17">
        <v>0.502</v>
      </c>
      <c r="SE16" s="18">
        <f t="shared" si="320"/>
        <v>1.6139673049505796E-2</v>
      </c>
      <c r="SF16" s="17">
        <v>0.60199999999999998</v>
      </c>
      <c r="SG16" s="18">
        <f t="shared" si="321"/>
        <v>1.9354747362156349E-2</v>
      </c>
      <c r="SH16" s="17">
        <v>0.61699999999999999</v>
      </c>
      <c r="SI16" s="18">
        <f t="shared" si="322"/>
        <v>1.9837008509053934E-2</v>
      </c>
      <c r="SJ16" s="17">
        <v>0.624</v>
      </c>
      <c r="SK16" s="18">
        <f t="shared" si="323"/>
        <v>2.0062063710939472E-2</v>
      </c>
      <c r="SL16" s="17">
        <v>0.60699999999999998</v>
      </c>
      <c r="SM16" s="18">
        <f t="shared" si="324"/>
        <v>1.9515501077788877E-2</v>
      </c>
      <c r="SN16" s="17">
        <v>0.498</v>
      </c>
      <c r="SO16" s="18">
        <f t="shared" si="325"/>
        <v>1.6011070076999773E-2</v>
      </c>
      <c r="SP16" s="17">
        <v>0.46800000000000003</v>
      </c>
      <c r="SQ16" s="18">
        <f t="shared" si="326"/>
        <v>1.5046547783204606E-2</v>
      </c>
      <c r="SR16" s="17">
        <v>0.58299999999999996</v>
      </c>
      <c r="SS16" s="18">
        <f t="shared" si="327"/>
        <v>1.8743883242752744E-2</v>
      </c>
      <c r="ST16" s="17">
        <v>0.60499999999999998</v>
      </c>
      <c r="SU16" s="18">
        <f t="shared" si="328"/>
        <v>1.9451199591535868E-2</v>
      </c>
      <c r="SV16" s="17">
        <v>0.61</v>
      </c>
      <c r="SW16" s="18">
        <f t="shared" si="329"/>
        <v>1.9611953307168396E-2</v>
      </c>
      <c r="SX16" s="17">
        <v>0.81699999999999995</v>
      </c>
      <c r="SY16" s="18">
        <f t="shared" si="330"/>
        <v>2.6267157134355047E-2</v>
      </c>
      <c r="SZ16" s="17">
        <v>0.53400000000000003</v>
      </c>
      <c r="TA16" s="18">
        <f t="shared" si="331"/>
        <v>1.7168496829553972E-2</v>
      </c>
      <c r="TB16" s="17">
        <v>0.57699999999999996</v>
      </c>
      <c r="TC16" s="18">
        <f t="shared" si="332"/>
        <v>1.8550978783993709E-2</v>
      </c>
      <c r="TD16" s="17">
        <v>0.53900000000000003</v>
      </c>
      <c r="TE16" s="18">
        <f t="shared" si="333"/>
        <v>1.7329250545186501E-2</v>
      </c>
      <c r="TF16" s="17">
        <v>0.5</v>
      </c>
      <c r="TG16" s="18">
        <f t="shared" si="334"/>
        <v>1.6075371563252783E-2</v>
      </c>
      <c r="TH16" s="17">
        <v>0.503</v>
      </c>
      <c r="TI16" s="18">
        <f t="shared" si="335"/>
        <v>1.6171823792632298E-2</v>
      </c>
      <c r="TJ16" s="17">
        <v>0.437</v>
      </c>
      <c r="TK16" s="18">
        <f t="shared" si="336"/>
        <v>1.4049874746282932E-2</v>
      </c>
      <c r="TL16" s="17">
        <v>0.442</v>
      </c>
      <c r="TM16" s="18">
        <f t="shared" si="337"/>
        <v>1.421062846191546E-2</v>
      </c>
      <c r="TN16" s="17">
        <v>0.59</v>
      </c>
      <c r="TO16" s="18">
        <f t="shared" si="338"/>
        <v>1.8968938444638282E-2</v>
      </c>
      <c r="TP16" s="17">
        <v>0.61399999999999999</v>
      </c>
      <c r="TQ16" s="18">
        <f t="shared" si="339"/>
        <v>1.9740556279674418E-2</v>
      </c>
      <c r="TR16" s="17">
        <v>0.66800000000000004</v>
      </c>
      <c r="TS16" s="18">
        <f t="shared" si="340"/>
        <v>2.1476696408505719E-2</v>
      </c>
      <c r="TT16" s="17">
        <v>0.58399999999999996</v>
      </c>
      <c r="TU16" s="2">
        <f t="shared" si="341"/>
        <v>1.8776033985879251E-2</v>
      </c>
      <c r="TV16" s="17">
        <v>0.64200000000000002</v>
      </c>
      <c r="TW16" s="18">
        <f t="shared" si="342"/>
        <v>2.0640777087216573E-2</v>
      </c>
      <c r="TX16" s="17"/>
      <c r="TY16" s="18">
        <f t="shared" si="343"/>
        <v>0</v>
      </c>
      <c r="TZ16" s="17"/>
      <c r="UA16" s="2">
        <f t="shared" si="344"/>
        <v>0</v>
      </c>
      <c r="UB16" s="17"/>
      <c r="UC16" s="18">
        <f t="shared" si="345"/>
        <v>0</v>
      </c>
      <c r="UD16" s="17"/>
      <c r="UE16" s="18">
        <f t="shared" si="346"/>
        <v>0</v>
      </c>
      <c r="UF16" s="17"/>
      <c r="UG16" s="2">
        <f t="shared" si="347"/>
        <v>0</v>
      </c>
      <c r="UH16" s="17"/>
      <c r="UI16" s="18">
        <f t="shared" si="348"/>
        <v>0</v>
      </c>
      <c r="UJ16" s="17"/>
      <c r="UK16" s="18">
        <f t="shared" si="349"/>
        <v>0</v>
      </c>
      <c r="UL16" s="17"/>
      <c r="UM16" s="2">
        <f t="shared" si="350"/>
        <v>0</v>
      </c>
      <c r="UN16" s="17"/>
      <c r="UO16" s="18">
        <f t="shared" si="351"/>
        <v>0</v>
      </c>
      <c r="UP16" s="17"/>
      <c r="UQ16" s="18">
        <f t="shared" si="352"/>
        <v>0</v>
      </c>
      <c r="UR16" s="17"/>
      <c r="US16" s="2">
        <f t="shared" si="353"/>
        <v>0</v>
      </c>
      <c r="UT16" s="17"/>
      <c r="UU16" s="18">
        <f t="shared" si="354"/>
        <v>0</v>
      </c>
      <c r="UV16" s="17"/>
      <c r="UW16" s="18">
        <f t="shared" si="355"/>
        <v>0</v>
      </c>
      <c r="UX16" s="17"/>
      <c r="UY16" s="2">
        <f t="shared" si="356"/>
        <v>0</v>
      </c>
    </row>
    <row r="17" spans="2:587" x14ac:dyDescent="0.2">
      <c r="B17" s="44"/>
      <c r="C17" s="23" t="s">
        <v>60</v>
      </c>
      <c r="D17" s="17">
        <f>((D15*(D14-D16)))/((D14*(D15-D16)))*100</f>
        <v>54.65873701556103</v>
      </c>
      <c r="E17" s="17">
        <f t="shared" ref="E17:BP17" si="366">((E15*(E14-E16)))/((E14*(E15-E16)))*100</f>
        <v>54.432755442440175</v>
      </c>
      <c r="F17" s="17">
        <f t="shared" si="366"/>
        <v>51.887107962026612</v>
      </c>
      <c r="G17" s="22">
        <f t="shared" si="366"/>
        <v>51.755055646036908</v>
      </c>
      <c r="H17" s="17">
        <f t="shared" si="366"/>
        <v>51.634491804433182</v>
      </c>
      <c r="I17" s="17">
        <f t="shared" si="366"/>
        <v>51.634491804433182</v>
      </c>
      <c r="J17" s="17">
        <f t="shared" si="366"/>
        <v>55.364215202247244</v>
      </c>
      <c r="K17" s="17">
        <f t="shared" si="366"/>
        <v>55.364215202247223</v>
      </c>
      <c r="L17" s="17">
        <f t="shared" si="366"/>
        <v>56.486007619497734</v>
      </c>
      <c r="M17" s="17">
        <f t="shared" si="366"/>
        <v>56.486007619497748</v>
      </c>
      <c r="N17" s="17">
        <f t="shared" si="366"/>
        <v>56.346793133179595</v>
      </c>
      <c r="O17" s="17">
        <f t="shared" si="366"/>
        <v>56.346793133179609</v>
      </c>
      <c r="P17" s="17">
        <f t="shared" si="366"/>
        <v>55.692728370069069</v>
      </c>
      <c r="Q17" s="17">
        <f t="shared" si="366"/>
        <v>55.692728370069069</v>
      </c>
      <c r="R17" s="17">
        <f t="shared" si="366"/>
        <v>47.829360348371942</v>
      </c>
      <c r="S17" s="17">
        <f t="shared" si="366"/>
        <v>47.829360348371942</v>
      </c>
      <c r="T17" s="17">
        <f t="shared" si="366"/>
        <v>49.260503009259807</v>
      </c>
      <c r="U17" s="17">
        <f t="shared" si="366"/>
        <v>49.260503009259807</v>
      </c>
      <c r="V17" s="17">
        <f t="shared" si="366"/>
        <v>51.390055779747357</v>
      </c>
      <c r="W17" s="17">
        <f t="shared" si="366"/>
        <v>51.390055779747357</v>
      </c>
      <c r="X17" s="17">
        <f t="shared" si="366"/>
        <v>54.282146563072317</v>
      </c>
      <c r="Y17" s="17">
        <f t="shared" si="366"/>
        <v>54.282146563072317</v>
      </c>
      <c r="Z17" s="17">
        <f t="shared" si="366"/>
        <v>53.488071220834414</v>
      </c>
      <c r="AA17" s="17">
        <f t="shared" si="366"/>
        <v>53.488071220834414</v>
      </c>
      <c r="AB17" s="17">
        <f t="shared" si="366"/>
        <v>58.022362378196767</v>
      </c>
      <c r="AC17" s="17">
        <f t="shared" si="366"/>
        <v>58.02236237819676</v>
      </c>
      <c r="AD17" s="17">
        <f t="shared" si="366"/>
        <v>60.419938653769243</v>
      </c>
      <c r="AE17" s="17">
        <f t="shared" si="366"/>
        <v>60.419938653769243</v>
      </c>
      <c r="AF17" s="17">
        <f t="shared" si="366"/>
        <v>54.364960162496956</v>
      </c>
      <c r="AG17" s="17">
        <f t="shared" si="366"/>
        <v>54.364960162496956</v>
      </c>
      <c r="AH17" s="17">
        <f t="shared" si="366"/>
        <v>58.365668048366459</v>
      </c>
      <c r="AI17" s="17">
        <f t="shared" si="366"/>
        <v>58.365668048366459</v>
      </c>
      <c r="AJ17" s="17">
        <f t="shared" si="366"/>
        <v>61.28794671623011</v>
      </c>
      <c r="AK17" s="17">
        <f t="shared" si="366"/>
        <v>61.287946716230124</v>
      </c>
      <c r="AL17" s="17">
        <f t="shared" si="366"/>
        <v>61.566734570910754</v>
      </c>
      <c r="AM17" s="17">
        <f t="shared" si="366"/>
        <v>61.566734570910754</v>
      </c>
      <c r="AN17" s="17">
        <f t="shared" si="366"/>
        <v>61.902093571947439</v>
      </c>
      <c r="AO17" s="17">
        <f t="shared" si="366"/>
        <v>61.902093571947447</v>
      </c>
      <c r="AP17" s="17">
        <f t="shared" si="366"/>
        <v>59.204260237779529</v>
      </c>
      <c r="AQ17" s="17">
        <f t="shared" si="366"/>
        <v>59.204260237779529</v>
      </c>
      <c r="AR17" s="17">
        <f t="shared" si="366"/>
        <v>56.667476422743903</v>
      </c>
      <c r="AS17" s="17">
        <f t="shared" si="366"/>
        <v>56.66747642274391</v>
      </c>
      <c r="AT17" s="17">
        <f t="shared" si="366"/>
        <v>48.599762739765524</v>
      </c>
      <c r="AU17" s="17">
        <f t="shared" si="366"/>
        <v>48.599762739765517</v>
      </c>
      <c r="AV17" s="17">
        <f t="shared" si="366"/>
        <v>49.478248878328749</v>
      </c>
      <c r="AW17" s="17">
        <f t="shared" si="366"/>
        <v>49.478248878328742</v>
      </c>
      <c r="AX17" s="17">
        <f t="shared" si="366"/>
        <v>52.07726818000404</v>
      </c>
      <c r="AY17" s="17">
        <f t="shared" si="366"/>
        <v>52.077268180004033</v>
      </c>
      <c r="AZ17" s="17">
        <f t="shared" si="366"/>
        <v>55.033117655778717</v>
      </c>
      <c r="BA17" s="17">
        <f t="shared" si="366"/>
        <v>55.033117655778732</v>
      </c>
      <c r="BB17" s="17">
        <f t="shared" si="366"/>
        <v>50.918077698326478</v>
      </c>
      <c r="BC17" s="17">
        <f t="shared" si="366"/>
        <v>50.918077698326492</v>
      </c>
      <c r="BD17" s="17">
        <f t="shared" si="366"/>
        <v>55.092241551495455</v>
      </c>
      <c r="BE17" s="17">
        <f t="shared" si="366"/>
        <v>55.092241551495455</v>
      </c>
      <c r="BF17" s="17">
        <f t="shared" si="366"/>
        <v>56.474924375573941</v>
      </c>
      <c r="BG17" s="17">
        <f t="shared" si="366"/>
        <v>56.474924375573941</v>
      </c>
      <c r="BH17" s="17">
        <f t="shared" si="366"/>
        <v>51.122647663763097</v>
      </c>
      <c r="BI17" s="17">
        <f t="shared" si="366"/>
        <v>51.122647663763097</v>
      </c>
      <c r="BJ17" s="17">
        <f t="shared" si="366"/>
        <v>53.649527030365753</v>
      </c>
      <c r="BK17" s="17">
        <f t="shared" si="366"/>
        <v>53.649527030365753</v>
      </c>
      <c r="BL17" s="17">
        <f t="shared" si="366"/>
        <v>55.462336111897791</v>
      </c>
      <c r="BM17" s="17">
        <f t="shared" si="366"/>
        <v>55.462336111897791</v>
      </c>
      <c r="BN17" s="17">
        <f t="shared" si="366"/>
        <v>52.270975085854154</v>
      </c>
      <c r="BO17" s="17">
        <f t="shared" si="366"/>
        <v>52.270975085854175</v>
      </c>
      <c r="BP17" s="17">
        <f t="shared" si="366"/>
        <v>54.505812958644974</v>
      </c>
      <c r="BQ17" s="17">
        <f t="shared" ref="BQ17:EB17" si="367">((BQ15*(BQ14-BQ16)))/((BQ14*(BQ15-BQ16)))*100</f>
        <v>54.505812958644981</v>
      </c>
      <c r="BR17" s="17">
        <f t="shared" si="367"/>
        <v>50.397015092147853</v>
      </c>
      <c r="BS17" s="17">
        <f t="shared" si="367"/>
        <v>50.397015092147853</v>
      </c>
      <c r="BT17" s="17">
        <f t="shared" si="367"/>
        <v>50.595479475361657</v>
      </c>
      <c r="BU17" s="17">
        <f t="shared" si="367"/>
        <v>50.595479475361657</v>
      </c>
      <c r="BV17" s="17">
        <f t="shared" si="367"/>
        <v>53.60358275454967</v>
      </c>
      <c r="BW17" s="17">
        <f t="shared" si="367"/>
        <v>53.60358275454967</v>
      </c>
      <c r="BX17" s="17">
        <f t="shared" si="367"/>
        <v>49.326274261900281</v>
      </c>
      <c r="BY17" s="17">
        <f t="shared" si="367"/>
        <v>49.326274261900281</v>
      </c>
      <c r="BZ17" s="17">
        <f t="shared" si="367"/>
        <v>49.404411162741148</v>
      </c>
      <c r="CA17" s="17">
        <f t="shared" si="367"/>
        <v>49.404411162741155</v>
      </c>
      <c r="CB17" s="17">
        <f t="shared" si="367"/>
        <v>49.626442025018747</v>
      </c>
      <c r="CC17" s="17">
        <f t="shared" si="367"/>
        <v>49.626442025018754</v>
      </c>
      <c r="CD17" s="17">
        <f t="shared" si="367"/>
        <v>51.897932030154124</v>
      </c>
      <c r="CE17" s="17">
        <f t="shared" si="367"/>
        <v>51.897932030154138</v>
      </c>
      <c r="CF17" s="17">
        <f t="shared" si="367"/>
        <v>53.684839562416066</v>
      </c>
      <c r="CG17" s="17">
        <f t="shared" si="367"/>
        <v>53.684839562416066</v>
      </c>
      <c r="CH17" s="17">
        <f t="shared" si="367"/>
        <v>53.039134004781971</v>
      </c>
      <c r="CI17" s="17">
        <f t="shared" si="367"/>
        <v>53.039134004781999</v>
      </c>
      <c r="CJ17" s="17">
        <f t="shared" si="367"/>
        <v>51.480239032445219</v>
      </c>
      <c r="CK17" s="17">
        <f t="shared" si="367"/>
        <v>51.480239032445226</v>
      </c>
      <c r="CL17" s="17">
        <f t="shared" si="367"/>
        <v>50.015046226786112</v>
      </c>
      <c r="CM17" s="17">
        <f t="shared" si="367"/>
        <v>50.015046226786112</v>
      </c>
      <c r="CN17" s="17">
        <f t="shared" si="367"/>
        <v>50.879334266992871</v>
      </c>
      <c r="CO17" s="17">
        <f t="shared" si="367"/>
        <v>50.879334266992871</v>
      </c>
      <c r="CP17" s="17">
        <f t="shared" si="367"/>
        <v>54.505100011661789</v>
      </c>
      <c r="CQ17" s="17">
        <f t="shared" si="367"/>
        <v>54.505100011661789</v>
      </c>
      <c r="CR17" s="17">
        <f t="shared" si="367"/>
        <v>50.152618317417655</v>
      </c>
      <c r="CS17" s="17">
        <f t="shared" si="367"/>
        <v>50.152618317417641</v>
      </c>
      <c r="CT17" s="17">
        <f t="shared" si="367"/>
        <v>51.620337428982964</v>
      </c>
      <c r="CU17" s="17">
        <f t="shared" si="367"/>
        <v>51.620337428982964</v>
      </c>
      <c r="CV17" s="17" t="e">
        <f t="shared" si="367"/>
        <v>#DIV/0!</v>
      </c>
      <c r="CW17" s="17" t="e">
        <f t="shared" si="367"/>
        <v>#DIV/0!</v>
      </c>
      <c r="CX17" s="17" t="e">
        <f t="shared" si="367"/>
        <v>#DIV/0!</v>
      </c>
      <c r="CY17" s="17" t="e">
        <f t="shared" si="367"/>
        <v>#DIV/0!</v>
      </c>
      <c r="CZ17" s="17" t="e">
        <f t="shared" si="367"/>
        <v>#DIV/0!</v>
      </c>
      <c r="DA17" s="17" t="e">
        <f t="shared" si="367"/>
        <v>#DIV/0!</v>
      </c>
      <c r="DB17" s="17" t="e">
        <f t="shared" si="367"/>
        <v>#DIV/0!</v>
      </c>
      <c r="DC17" s="17" t="e">
        <f t="shared" si="367"/>
        <v>#DIV/0!</v>
      </c>
      <c r="DD17" s="17" t="e">
        <f t="shared" si="367"/>
        <v>#DIV/0!</v>
      </c>
      <c r="DE17" s="17" t="e">
        <f t="shared" si="367"/>
        <v>#DIV/0!</v>
      </c>
      <c r="DF17" s="17" t="e">
        <f t="shared" si="367"/>
        <v>#DIV/0!</v>
      </c>
      <c r="DG17" s="17" t="e">
        <f t="shared" si="367"/>
        <v>#DIV/0!</v>
      </c>
      <c r="DH17" s="17" t="e">
        <f t="shared" si="367"/>
        <v>#DIV/0!</v>
      </c>
      <c r="DI17" s="17" t="e">
        <f t="shared" si="367"/>
        <v>#DIV/0!</v>
      </c>
      <c r="DJ17" s="17" t="e">
        <f t="shared" si="367"/>
        <v>#DIV/0!</v>
      </c>
      <c r="DK17" s="17" t="e">
        <f t="shared" si="367"/>
        <v>#DIV/0!</v>
      </c>
      <c r="DL17" s="17" t="e">
        <f t="shared" si="367"/>
        <v>#DIV/0!</v>
      </c>
      <c r="DM17" s="17" t="e">
        <f t="shared" si="367"/>
        <v>#DIV/0!</v>
      </c>
      <c r="DN17" s="17" t="e">
        <f t="shared" si="367"/>
        <v>#DIV/0!</v>
      </c>
      <c r="DO17" s="17" t="e">
        <f t="shared" si="367"/>
        <v>#DIV/0!</v>
      </c>
      <c r="DP17" s="17" t="e">
        <f t="shared" si="367"/>
        <v>#DIV/0!</v>
      </c>
      <c r="DQ17" s="17" t="e">
        <f t="shared" si="367"/>
        <v>#DIV/0!</v>
      </c>
      <c r="DR17" s="17" t="e">
        <f t="shared" si="367"/>
        <v>#DIV/0!</v>
      </c>
      <c r="DS17" s="17" t="e">
        <f t="shared" si="367"/>
        <v>#DIV/0!</v>
      </c>
      <c r="DT17" s="17" t="e">
        <f t="shared" si="367"/>
        <v>#DIV/0!</v>
      </c>
      <c r="DU17" s="17" t="e">
        <f t="shared" si="367"/>
        <v>#DIV/0!</v>
      </c>
      <c r="DV17" s="17">
        <f t="shared" si="367"/>
        <v>51.949438753616661</v>
      </c>
      <c r="DW17" s="17">
        <f t="shared" si="367"/>
        <v>51.949438753616661</v>
      </c>
      <c r="DX17" s="17">
        <f t="shared" si="367"/>
        <v>51.095595516419642</v>
      </c>
      <c r="DY17" s="17">
        <f t="shared" si="367"/>
        <v>51.095595516419642</v>
      </c>
      <c r="DZ17" s="17">
        <f t="shared" si="367"/>
        <v>62.065207226124642</v>
      </c>
      <c r="EA17" s="17">
        <f t="shared" si="367"/>
        <v>62.06520722612462</v>
      </c>
      <c r="EB17" s="17">
        <f t="shared" si="367"/>
        <v>59.374015096419562</v>
      </c>
      <c r="EC17" s="17">
        <f t="shared" ref="EC17:GN17" si="368">((EC15*(EC14-EC16)))/((EC14*(EC15-EC16)))*100</f>
        <v>59.374015096419562</v>
      </c>
      <c r="ED17" s="17">
        <f t="shared" si="368"/>
        <v>49.687662575889291</v>
      </c>
      <c r="EE17" s="17">
        <f t="shared" si="368"/>
        <v>49.687662575889277</v>
      </c>
      <c r="EF17" s="17">
        <f t="shared" si="368"/>
        <v>53.523543355474438</v>
      </c>
      <c r="EG17" s="17">
        <f t="shared" si="368"/>
        <v>53.523543355474423</v>
      </c>
      <c r="EH17" s="17">
        <f t="shared" si="368"/>
        <v>54.529095223775045</v>
      </c>
      <c r="EI17" s="17">
        <f t="shared" si="368"/>
        <v>54.529095223775059</v>
      </c>
      <c r="EJ17" s="17">
        <f t="shared" si="368"/>
        <v>54.391229623992402</v>
      </c>
      <c r="EK17" s="17">
        <f t="shared" si="368"/>
        <v>54.391229623992402</v>
      </c>
      <c r="EL17" s="17">
        <f t="shared" si="368"/>
        <v>52.918367438360271</v>
      </c>
      <c r="EM17" s="17">
        <f t="shared" si="368"/>
        <v>52.918367438360271</v>
      </c>
      <c r="EN17" s="17">
        <f t="shared" si="368"/>
        <v>50.761917219169625</v>
      </c>
      <c r="EO17" s="17">
        <f t="shared" si="368"/>
        <v>50.761917219169639</v>
      </c>
      <c r="EP17" s="17">
        <f t="shared" si="368"/>
        <v>49.974135975388748</v>
      </c>
      <c r="EQ17" s="17">
        <f t="shared" si="368"/>
        <v>49.974135975388734</v>
      </c>
      <c r="ER17" s="17">
        <f t="shared" si="368"/>
        <v>48.829314457687737</v>
      </c>
      <c r="ES17" s="17">
        <f t="shared" si="368"/>
        <v>48.829314457687737</v>
      </c>
      <c r="ET17" s="17">
        <f t="shared" si="368"/>
        <v>49.750303401851298</v>
      </c>
      <c r="EU17" s="17">
        <f t="shared" si="368"/>
        <v>49.750303401851298</v>
      </c>
      <c r="EV17" s="17">
        <f t="shared" si="368"/>
        <v>53.215040397880472</v>
      </c>
      <c r="EW17" s="17">
        <f t="shared" si="368"/>
        <v>53.215040397880486</v>
      </c>
      <c r="EX17" s="17">
        <f t="shared" si="368"/>
        <v>53.039240157525228</v>
      </c>
      <c r="EY17" s="17">
        <f t="shared" si="368"/>
        <v>53.039240157525228</v>
      </c>
      <c r="EZ17" s="17">
        <f t="shared" si="368"/>
        <v>55.567116134526586</v>
      </c>
      <c r="FA17" s="17">
        <f t="shared" si="368"/>
        <v>55.567116134526586</v>
      </c>
      <c r="FB17" s="17">
        <f t="shared" si="368"/>
        <v>58.887233397016814</v>
      </c>
      <c r="FC17" s="17">
        <f t="shared" si="368"/>
        <v>58.887233397016814</v>
      </c>
      <c r="FD17" s="17">
        <f t="shared" si="368"/>
        <v>56.236651440473551</v>
      </c>
      <c r="FE17" s="17">
        <f t="shared" si="368"/>
        <v>56.236651440473565</v>
      </c>
      <c r="FF17" s="17">
        <f t="shared" si="368"/>
        <v>49.865398318056954</v>
      </c>
      <c r="FG17" s="17">
        <f t="shared" si="368"/>
        <v>49.865398318056961</v>
      </c>
      <c r="FH17" s="17">
        <f t="shared" si="368"/>
        <v>51.797294891157733</v>
      </c>
      <c r="FI17" s="17">
        <f t="shared" si="368"/>
        <v>51.797294891157719</v>
      </c>
      <c r="FJ17" s="17">
        <f t="shared" si="368"/>
        <v>55.814864188609704</v>
      </c>
      <c r="FK17" s="17">
        <f t="shared" si="368"/>
        <v>55.81486418860969</v>
      </c>
      <c r="FL17" s="17">
        <f t="shared" si="368"/>
        <v>56.260120696678953</v>
      </c>
      <c r="FM17" s="17">
        <f t="shared" si="368"/>
        <v>56.26012069667896</v>
      </c>
      <c r="FN17" s="17">
        <f t="shared" si="368"/>
        <v>60.249224911182417</v>
      </c>
      <c r="FO17" s="17">
        <f t="shared" si="368"/>
        <v>60.249224911182417</v>
      </c>
      <c r="FP17" s="17">
        <f t="shared" si="368"/>
        <v>58.115036866428902</v>
      </c>
      <c r="FQ17" s="17">
        <f t="shared" si="368"/>
        <v>58.115036866428902</v>
      </c>
      <c r="FR17" s="17">
        <f t="shared" si="368"/>
        <v>49.254989627016727</v>
      </c>
      <c r="FS17" s="17">
        <f t="shared" si="368"/>
        <v>49.254989627016727</v>
      </c>
      <c r="FT17" s="17">
        <f t="shared" si="368"/>
        <v>54.902415267418448</v>
      </c>
      <c r="FU17" s="17">
        <f t="shared" si="368"/>
        <v>54.902415267418448</v>
      </c>
      <c r="FV17" s="17">
        <f t="shared" si="368"/>
        <v>49.191221244676882</v>
      </c>
      <c r="FW17" s="17">
        <f t="shared" si="368"/>
        <v>49.191221244676875</v>
      </c>
      <c r="FX17" s="17">
        <f t="shared" si="368"/>
        <v>53.350032529857906</v>
      </c>
      <c r="FY17" s="17">
        <f t="shared" si="368"/>
        <v>53.350032529857906</v>
      </c>
      <c r="FZ17" s="17">
        <f t="shared" si="368"/>
        <v>54.233242252852854</v>
      </c>
      <c r="GA17" s="17">
        <f t="shared" si="368"/>
        <v>54.233242252852861</v>
      </c>
      <c r="GB17" s="17">
        <f t="shared" si="368"/>
        <v>54.722524328435675</v>
      </c>
      <c r="GC17" s="17">
        <f t="shared" si="368"/>
        <v>54.722524328435661</v>
      </c>
      <c r="GD17" s="17">
        <f t="shared" si="368"/>
        <v>56.301348532499418</v>
      </c>
      <c r="GE17" s="17">
        <f t="shared" si="368"/>
        <v>56.301348532499418</v>
      </c>
      <c r="GF17" s="17">
        <f t="shared" si="368"/>
        <v>52.89403089843745</v>
      </c>
      <c r="GG17" s="17">
        <f t="shared" si="368"/>
        <v>52.89403089843745</v>
      </c>
      <c r="GH17" s="17">
        <f t="shared" si="368"/>
        <v>58.008334574154382</v>
      </c>
      <c r="GI17" s="17">
        <f t="shared" si="368"/>
        <v>58.008334574154361</v>
      </c>
      <c r="GJ17" s="17">
        <f t="shared" si="368"/>
        <v>51.982188012090234</v>
      </c>
      <c r="GK17" s="17">
        <f t="shared" si="368"/>
        <v>51.982188012090234</v>
      </c>
      <c r="GL17" s="17">
        <f t="shared" si="368"/>
        <v>49.567055918784995</v>
      </c>
      <c r="GM17" s="17">
        <f t="shared" si="368"/>
        <v>49.567055918784988</v>
      </c>
      <c r="GN17" s="17">
        <f t="shared" si="368"/>
        <v>52.130654755943439</v>
      </c>
      <c r="GO17" s="17">
        <f t="shared" ref="GO17:IZ17" si="369">((GO15*(GO14-GO16)))/((GO14*(GO15-GO16)))*100</f>
        <v>52.130654755943453</v>
      </c>
      <c r="GP17" s="17">
        <f t="shared" si="369"/>
        <v>54.610924381594849</v>
      </c>
      <c r="GQ17" s="17">
        <f t="shared" si="369"/>
        <v>54.610924381594849</v>
      </c>
      <c r="GR17" s="17">
        <f t="shared" si="369"/>
        <v>54.284688515398713</v>
      </c>
      <c r="GS17" s="17">
        <f t="shared" si="369"/>
        <v>54.284688515398727</v>
      </c>
      <c r="GT17" s="17">
        <f t="shared" si="369"/>
        <v>55.454093745228718</v>
      </c>
      <c r="GU17" s="17">
        <f t="shared" si="369"/>
        <v>55.454093745228739</v>
      </c>
      <c r="GV17" s="17">
        <f t="shared" si="369"/>
        <v>50.647998653572657</v>
      </c>
      <c r="GW17" s="17">
        <f t="shared" si="369"/>
        <v>50.647998653572643</v>
      </c>
      <c r="GX17" s="17">
        <f t="shared" si="369"/>
        <v>59.744098215183513</v>
      </c>
      <c r="GY17" s="17">
        <f t="shared" si="369"/>
        <v>59.744098215183492</v>
      </c>
      <c r="GZ17" s="17">
        <f t="shared" si="369"/>
        <v>63.726473669140091</v>
      </c>
      <c r="HA17" s="17">
        <f t="shared" si="369"/>
        <v>63.726473669140091</v>
      </c>
      <c r="HB17" s="17">
        <f t="shared" si="369"/>
        <v>51.652019441364196</v>
      </c>
      <c r="HC17" s="17">
        <f t="shared" si="369"/>
        <v>51.652019441364203</v>
      </c>
      <c r="HD17" s="17">
        <f t="shared" si="369"/>
        <v>61.857711689912101</v>
      </c>
      <c r="HE17" s="17">
        <f t="shared" si="369"/>
        <v>61.857711689912101</v>
      </c>
      <c r="HF17" s="17">
        <f t="shared" si="369"/>
        <v>62.514103516164113</v>
      </c>
      <c r="HG17" s="17">
        <f t="shared" si="369"/>
        <v>62.514103516164113</v>
      </c>
      <c r="HH17" s="17">
        <f t="shared" si="369"/>
        <v>60.502443964676509</v>
      </c>
      <c r="HI17" s="17">
        <f t="shared" si="369"/>
        <v>60.502443964676502</v>
      </c>
      <c r="HJ17" s="17">
        <f t="shared" si="369"/>
        <v>52.508619231287589</v>
      </c>
      <c r="HK17" s="17">
        <f t="shared" si="369"/>
        <v>52.508619231287589</v>
      </c>
      <c r="HL17" s="17">
        <f t="shared" si="369"/>
        <v>51.435060645302144</v>
      </c>
      <c r="HM17" s="17">
        <f t="shared" si="369"/>
        <v>51.43506064530213</v>
      </c>
      <c r="HN17" s="17">
        <f t="shared" si="369"/>
        <v>52.022434365543646</v>
      </c>
      <c r="HO17" s="17">
        <f t="shared" si="369"/>
        <v>52.022434365543646</v>
      </c>
      <c r="HP17" s="17">
        <f t="shared" si="369"/>
        <v>52.252940370987332</v>
      </c>
      <c r="HQ17" s="17">
        <f t="shared" si="369"/>
        <v>52.252940370987332</v>
      </c>
      <c r="HR17" s="17">
        <f t="shared" si="369"/>
        <v>50.161079743496551</v>
      </c>
      <c r="HS17" s="17">
        <f t="shared" si="369"/>
        <v>50.161079743496565</v>
      </c>
      <c r="HT17" s="17">
        <f t="shared" si="369"/>
        <v>48.376728331246028</v>
      </c>
      <c r="HU17" s="17">
        <f t="shared" si="369"/>
        <v>48.376728331246021</v>
      </c>
      <c r="HV17" s="17">
        <f t="shared" si="369"/>
        <v>49.261070863202157</v>
      </c>
      <c r="HW17" s="17">
        <f t="shared" si="369"/>
        <v>49.261070863202136</v>
      </c>
      <c r="HX17" s="17">
        <f t="shared" si="369"/>
        <v>50.042418702868538</v>
      </c>
      <c r="HY17" s="17">
        <f t="shared" si="369"/>
        <v>50.042418702868538</v>
      </c>
      <c r="HZ17" s="17">
        <f t="shared" si="369"/>
        <v>49.860193109634871</v>
      </c>
      <c r="IA17" s="17">
        <f t="shared" si="369"/>
        <v>49.860193109634885</v>
      </c>
      <c r="IB17" s="17">
        <f t="shared" si="369"/>
        <v>51.645396695962376</v>
      </c>
      <c r="IC17" s="17">
        <f t="shared" si="369"/>
        <v>51.645396695962376</v>
      </c>
      <c r="ID17" s="17">
        <f t="shared" si="369"/>
        <v>50.844074755424515</v>
      </c>
      <c r="IE17" s="17">
        <f t="shared" si="369"/>
        <v>50.844074755424508</v>
      </c>
      <c r="IF17" s="17">
        <f t="shared" si="369"/>
        <v>52.305949631816453</v>
      </c>
      <c r="IG17" s="17">
        <f t="shared" si="369"/>
        <v>52.305949631816461</v>
      </c>
      <c r="IH17" s="17">
        <f t="shared" si="369"/>
        <v>51.364021051182341</v>
      </c>
      <c r="II17" s="17">
        <f t="shared" si="369"/>
        <v>51.364021051182341</v>
      </c>
      <c r="IJ17" s="17">
        <f t="shared" si="369"/>
        <v>50.882508945093321</v>
      </c>
      <c r="IK17" s="17">
        <f t="shared" si="369"/>
        <v>50.882508945093328</v>
      </c>
      <c r="IL17" s="17">
        <f t="shared" si="369"/>
        <v>51.707273805312369</v>
      </c>
      <c r="IM17" s="17">
        <f t="shared" si="369"/>
        <v>51.707273805312369</v>
      </c>
      <c r="IN17" s="17">
        <f t="shared" si="369"/>
        <v>56.302378568334518</v>
      </c>
      <c r="IO17" s="17">
        <f t="shared" si="369"/>
        <v>56.302378568334532</v>
      </c>
      <c r="IP17" s="17">
        <f t="shared" si="369"/>
        <v>49.241923507643307</v>
      </c>
      <c r="IQ17" s="17">
        <f t="shared" si="369"/>
        <v>49.241923507643321</v>
      </c>
      <c r="IR17" s="17">
        <f t="shared" si="369"/>
        <v>48.654996239358859</v>
      </c>
      <c r="IS17" s="17">
        <f t="shared" si="369"/>
        <v>48.654996239358873</v>
      </c>
      <c r="IT17" s="17">
        <f t="shared" si="369"/>
        <v>55.019359543943438</v>
      </c>
      <c r="IU17" s="17">
        <f t="shared" si="369"/>
        <v>55.019359543943438</v>
      </c>
      <c r="IV17" s="17">
        <f t="shared" si="369"/>
        <v>49.573117995642804</v>
      </c>
      <c r="IW17" s="17">
        <f t="shared" si="369"/>
        <v>49.573117995642804</v>
      </c>
      <c r="IX17" s="17">
        <f t="shared" si="369"/>
        <v>56.926116174794281</v>
      </c>
      <c r="IY17" s="17">
        <f t="shared" si="369"/>
        <v>56.926116174794295</v>
      </c>
      <c r="IZ17" s="17">
        <f t="shared" si="369"/>
        <v>54.855494602988884</v>
      </c>
      <c r="JA17" s="17">
        <f t="shared" ref="JA17:LL17" si="370">((JA15*(JA14-JA16)))/((JA14*(JA15-JA16)))*100</f>
        <v>54.855494602988884</v>
      </c>
      <c r="JB17" s="17">
        <f t="shared" si="370"/>
        <v>55.359256610794574</v>
      </c>
      <c r="JC17" s="17">
        <f t="shared" si="370"/>
        <v>55.359256610794581</v>
      </c>
      <c r="JD17" s="17">
        <f t="shared" si="370"/>
        <v>54.81984498912098</v>
      </c>
      <c r="JE17" s="17">
        <f t="shared" si="370"/>
        <v>54.819844989120966</v>
      </c>
      <c r="JF17" s="17">
        <f t="shared" si="370"/>
        <v>53.22512289605006</v>
      </c>
      <c r="JG17" s="17">
        <f t="shared" si="370"/>
        <v>53.225122896050067</v>
      </c>
      <c r="JH17" s="17">
        <f t="shared" si="370"/>
        <v>56.45800834467537</v>
      </c>
      <c r="JI17" s="17">
        <f t="shared" si="370"/>
        <v>56.458008344675356</v>
      </c>
      <c r="JJ17" s="17">
        <f t="shared" si="370"/>
        <v>48.667775217125005</v>
      </c>
      <c r="JK17" s="17">
        <f t="shared" si="370"/>
        <v>48.667775217125012</v>
      </c>
      <c r="JL17" s="17">
        <f t="shared" si="370"/>
        <v>51.396426754433463</v>
      </c>
      <c r="JM17" s="17">
        <f t="shared" si="370"/>
        <v>51.396426754433477</v>
      </c>
      <c r="JN17" s="17">
        <f t="shared" si="370"/>
        <v>53.438739089963981</v>
      </c>
      <c r="JO17" s="17">
        <f t="shared" si="370"/>
        <v>53.438739089963981</v>
      </c>
      <c r="JP17" s="17">
        <f t="shared" si="370"/>
        <v>55.376826907275792</v>
      </c>
      <c r="JQ17" s="17">
        <f t="shared" si="370"/>
        <v>55.376826907275778</v>
      </c>
      <c r="JR17" s="17">
        <f t="shared" si="370"/>
        <v>48.633163574281085</v>
      </c>
      <c r="JS17" s="17">
        <f t="shared" si="370"/>
        <v>48.633163574281092</v>
      </c>
      <c r="JT17" s="17">
        <f t="shared" si="370"/>
        <v>59.05836582669378</v>
      </c>
      <c r="JU17" s="17">
        <f t="shared" si="370"/>
        <v>59.058365826693795</v>
      </c>
      <c r="JV17" s="17">
        <f t="shared" si="370"/>
        <v>61.812452032036227</v>
      </c>
      <c r="JW17" s="17">
        <f t="shared" si="370"/>
        <v>61.812452032036212</v>
      </c>
      <c r="JX17" s="17">
        <f t="shared" si="370"/>
        <v>60.482628212528702</v>
      </c>
      <c r="JY17" s="17">
        <f t="shared" si="370"/>
        <v>60.482628212528709</v>
      </c>
      <c r="JZ17" s="17">
        <f t="shared" si="370"/>
        <v>55.143797068870789</v>
      </c>
      <c r="KA17" s="17">
        <f t="shared" si="370"/>
        <v>55.143797068870803</v>
      </c>
      <c r="KB17" s="17">
        <f t="shared" si="370"/>
        <v>50.948895516531053</v>
      </c>
      <c r="KC17" s="17">
        <f t="shared" si="370"/>
        <v>50.948895516531053</v>
      </c>
      <c r="KD17" s="17">
        <f t="shared" si="370"/>
        <v>49.820528814475857</v>
      </c>
      <c r="KE17" s="17">
        <f t="shared" si="370"/>
        <v>49.820528814475864</v>
      </c>
      <c r="KF17" s="17">
        <f t="shared" si="370"/>
        <v>47.145623636913129</v>
      </c>
      <c r="KG17" s="17">
        <f t="shared" si="370"/>
        <v>47.145623636913143</v>
      </c>
      <c r="KH17" s="17">
        <f t="shared" si="370"/>
        <v>54.373878498600469</v>
      </c>
      <c r="KI17" s="17">
        <f t="shared" si="370"/>
        <v>54.373878498600469</v>
      </c>
      <c r="KJ17" s="17">
        <f t="shared" si="370"/>
        <v>51.55060806590329</v>
      </c>
      <c r="KK17" s="17">
        <f t="shared" si="370"/>
        <v>51.55060806590329</v>
      </c>
      <c r="KL17" s="17">
        <f t="shared" si="370"/>
        <v>52.39516469097714</v>
      </c>
      <c r="KM17" s="17">
        <f t="shared" si="370"/>
        <v>52.395164690977147</v>
      </c>
      <c r="KN17" s="17">
        <f t="shared" si="370"/>
        <v>50.053195395125741</v>
      </c>
      <c r="KO17" s="17">
        <f t="shared" si="370"/>
        <v>50.053195395125726</v>
      </c>
      <c r="KP17" s="17">
        <f t="shared" si="370"/>
        <v>53.51742919443744</v>
      </c>
      <c r="KQ17" s="17">
        <f t="shared" si="370"/>
        <v>53.517429194437447</v>
      </c>
      <c r="KR17" s="17">
        <f t="shared" si="370"/>
        <v>56.863097253052345</v>
      </c>
      <c r="KS17" s="17">
        <f t="shared" si="370"/>
        <v>56.863097253052345</v>
      </c>
      <c r="KT17" s="17">
        <f t="shared" si="370"/>
        <v>61.814105005599139</v>
      </c>
      <c r="KU17" s="17">
        <f t="shared" si="370"/>
        <v>61.814105005599153</v>
      </c>
      <c r="KV17" s="17">
        <f t="shared" si="370"/>
        <v>63.337945021512368</v>
      </c>
      <c r="KW17" s="17">
        <f t="shared" si="370"/>
        <v>63.337945021512368</v>
      </c>
      <c r="KX17" s="17">
        <f t="shared" si="370"/>
        <v>54.658638153394691</v>
      </c>
      <c r="KY17" s="17">
        <f t="shared" si="370"/>
        <v>54.658638153394691</v>
      </c>
      <c r="KZ17" s="17">
        <f t="shared" si="370"/>
        <v>54.304273688705194</v>
      </c>
      <c r="LA17" s="17">
        <f t="shared" si="370"/>
        <v>54.304273688705209</v>
      </c>
      <c r="LB17" s="17">
        <f t="shared" si="370"/>
        <v>54.397225756271602</v>
      </c>
      <c r="LC17" s="17">
        <f t="shared" si="370"/>
        <v>54.397225756271602</v>
      </c>
      <c r="LD17" s="17">
        <f t="shared" si="370"/>
        <v>51.988841323816224</v>
      </c>
      <c r="LE17" s="17">
        <f t="shared" si="370"/>
        <v>51.988841323816239</v>
      </c>
      <c r="LF17" s="17">
        <f t="shared" si="370"/>
        <v>52.72529104681</v>
      </c>
      <c r="LG17" s="17">
        <f t="shared" si="370"/>
        <v>52.725291046809986</v>
      </c>
      <c r="LH17" s="17">
        <f t="shared" si="370"/>
        <v>50.641034251332997</v>
      </c>
      <c r="LI17" s="17">
        <f t="shared" si="370"/>
        <v>50.641034251332997</v>
      </c>
      <c r="LJ17" s="17">
        <f t="shared" si="370"/>
        <v>52.884358648152642</v>
      </c>
      <c r="LK17" s="17">
        <f t="shared" si="370"/>
        <v>52.884358648152642</v>
      </c>
      <c r="LL17" s="17">
        <f t="shared" si="370"/>
        <v>51.003841342522662</v>
      </c>
      <c r="LM17" s="17">
        <f t="shared" ref="LM17:NX17" si="371">((LM15*(LM14-LM16)))/((LM14*(LM15-LM16)))*100</f>
        <v>51.003841342522648</v>
      </c>
      <c r="LN17" s="17">
        <f t="shared" si="371"/>
        <v>52.845807820260781</v>
      </c>
      <c r="LO17" s="17">
        <f t="shared" si="371"/>
        <v>52.845807820260795</v>
      </c>
      <c r="LP17" s="17">
        <f t="shared" si="371"/>
        <v>51.132297662964945</v>
      </c>
      <c r="LQ17" s="17">
        <f t="shared" si="371"/>
        <v>51.132297662964945</v>
      </c>
      <c r="LR17" s="17">
        <f t="shared" si="371"/>
        <v>57.960221296228745</v>
      </c>
      <c r="LS17" s="17">
        <f t="shared" si="371"/>
        <v>57.960221296228752</v>
      </c>
      <c r="LT17" s="17">
        <f t="shared" si="371"/>
        <v>60.877521994775229</v>
      </c>
      <c r="LU17" s="17">
        <f t="shared" si="371"/>
        <v>60.87752199477525</v>
      </c>
      <c r="LV17" s="17">
        <f t="shared" si="371"/>
        <v>57.25671077010751</v>
      </c>
      <c r="LW17" s="17">
        <f t="shared" si="371"/>
        <v>57.256710770107532</v>
      </c>
      <c r="LX17" s="17">
        <f t="shared" si="371"/>
        <v>59.106101191225861</v>
      </c>
      <c r="LY17" s="17">
        <f t="shared" si="371"/>
        <v>59.106101191225861</v>
      </c>
      <c r="LZ17" s="17">
        <f t="shared" si="371"/>
        <v>50.294938971072234</v>
      </c>
      <c r="MA17" s="17">
        <f t="shared" si="371"/>
        <v>50.294938971072241</v>
      </c>
      <c r="MB17" s="17">
        <f t="shared" si="371"/>
        <v>50.82810842881139</v>
      </c>
      <c r="MC17" s="17">
        <f t="shared" si="371"/>
        <v>50.828108428811404</v>
      </c>
      <c r="MD17" s="17">
        <f t="shared" si="371"/>
        <v>49.811940730673754</v>
      </c>
      <c r="ME17" s="17">
        <f t="shared" si="371"/>
        <v>49.811940730673761</v>
      </c>
      <c r="MF17" s="17">
        <f t="shared" si="371"/>
        <v>49.987820721673017</v>
      </c>
      <c r="MG17" s="17">
        <f t="shared" si="371"/>
        <v>49.987820721673017</v>
      </c>
      <c r="MH17" s="17">
        <f t="shared" si="371"/>
        <v>51.107678563661892</v>
      </c>
      <c r="MI17" s="17">
        <f t="shared" si="371"/>
        <v>51.107678563661892</v>
      </c>
      <c r="MJ17" s="17">
        <f t="shared" si="371"/>
        <v>52.391198300830887</v>
      </c>
      <c r="MK17" s="17">
        <f t="shared" si="371"/>
        <v>52.391198300830901</v>
      </c>
      <c r="ML17" s="17">
        <f t="shared" si="371"/>
        <v>50.31976081207862</v>
      </c>
      <c r="MM17" s="17">
        <f t="shared" si="371"/>
        <v>50.319760812078627</v>
      </c>
      <c r="MN17" s="17">
        <f t="shared" si="371"/>
        <v>49.544516135942409</v>
      </c>
      <c r="MO17" s="17">
        <f t="shared" si="371"/>
        <v>49.544516135942409</v>
      </c>
      <c r="MP17" s="17">
        <f t="shared" si="371"/>
        <v>49.864238337204078</v>
      </c>
      <c r="MQ17" s="17">
        <f t="shared" si="371"/>
        <v>49.864238337204071</v>
      </c>
      <c r="MR17" s="17">
        <f t="shared" si="371"/>
        <v>59.644738327350069</v>
      </c>
      <c r="MS17" s="17">
        <f t="shared" si="371"/>
        <v>59.644738327350069</v>
      </c>
      <c r="MT17" s="17">
        <f t="shared" si="371"/>
        <v>51.486702230278283</v>
      </c>
      <c r="MU17" s="17">
        <f t="shared" si="371"/>
        <v>51.486702230278283</v>
      </c>
      <c r="MV17" s="17">
        <f t="shared" si="371"/>
        <v>50.776230902171463</v>
      </c>
      <c r="MW17" s="17">
        <f t="shared" si="371"/>
        <v>50.776230902171449</v>
      </c>
      <c r="MX17" s="17">
        <f t="shared" si="371"/>
        <v>50.654234385077025</v>
      </c>
      <c r="MY17" s="17">
        <f t="shared" si="371"/>
        <v>50.654234385077025</v>
      </c>
      <c r="MZ17" s="17">
        <f t="shared" si="371"/>
        <v>50.002029272984508</v>
      </c>
      <c r="NA17" s="17">
        <f t="shared" si="371"/>
        <v>50.002029272984508</v>
      </c>
      <c r="NB17" s="17">
        <f t="shared" si="371"/>
        <v>53.945084717640611</v>
      </c>
      <c r="NC17" s="17">
        <f t="shared" si="371"/>
        <v>53.945084717640611</v>
      </c>
      <c r="ND17" s="17">
        <f t="shared" si="371"/>
        <v>51.110471213947996</v>
      </c>
      <c r="NE17" s="17">
        <f t="shared" si="371"/>
        <v>51.110471213947996</v>
      </c>
      <c r="NF17" s="17">
        <f t="shared" si="371"/>
        <v>60.844530204068704</v>
      </c>
      <c r="NG17" s="17">
        <f t="shared" si="371"/>
        <v>60.844530204068711</v>
      </c>
      <c r="NH17" s="17">
        <f t="shared" si="371"/>
        <v>56.19495886765182</v>
      </c>
      <c r="NI17" s="17">
        <f t="shared" si="371"/>
        <v>56.194958867651799</v>
      </c>
      <c r="NJ17" s="17">
        <f t="shared" si="371"/>
        <v>51.352497024224029</v>
      </c>
      <c r="NK17" s="17">
        <f t="shared" si="371"/>
        <v>51.352497024224029</v>
      </c>
      <c r="NL17" s="17">
        <f t="shared" si="371"/>
        <v>53.052105082763404</v>
      </c>
      <c r="NM17" s="17">
        <f t="shared" si="371"/>
        <v>53.05210508276339</v>
      </c>
      <c r="NN17" s="17">
        <f t="shared" si="371"/>
        <v>52.423862773883378</v>
      </c>
      <c r="NO17" s="17">
        <f t="shared" si="371"/>
        <v>52.423862773883364</v>
      </c>
      <c r="NP17" s="17">
        <f t="shared" si="371"/>
        <v>54.580228551484886</v>
      </c>
      <c r="NQ17" s="17">
        <f t="shared" si="371"/>
        <v>54.5802285514849</v>
      </c>
      <c r="NR17" s="17">
        <f t="shared" si="371"/>
        <v>52.772933064048956</v>
      </c>
      <c r="NS17" s="17">
        <f t="shared" si="371"/>
        <v>52.772933064048942</v>
      </c>
      <c r="NT17" s="17">
        <f t="shared" si="371"/>
        <v>50.941336470260026</v>
      </c>
      <c r="NU17" s="17">
        <f t="shared" si="371"/>
        <v>50.941336470260026</v>
      </c>
      <c r="NV17" s="17">
        <f t="shared" si="371"/>
        <v>52.475562785767785</v>
      </c>
      <c r="NW17" s="17">
        <f t="shared" si="371"/>
        <v>52.475562785767785</v>
      </c>
      <c r="NX17" s="17">
        <f t="shared" si="371"/>
        <v>52.567794254267767</v>
      </c>
      <c r="NY17" s="17">
        <f t="shared" ref="NY17:QJ17" si="372">((NY15*(NY14-NY16)))/((NY14*(NY15-NY16)))*100</f>
        <v>52.567794254267774</v>
      </c>
      <c r="NZ17" s="17">
        <f t="shared" si="372"/>
        <v>49.233000981146397</v>
      </c>
      <c r="OA17" s="17">
        <f t="shared" si="372"/>
        <v>49.233000981146404</v>
      </c>
      <c r="OB17" s="17">
        <f t="shared" si="372"/>
        <v>54.597063393648313</v>
      </c>
      <c r="OC17" s="17">
        <f t="shared" si="372"/>
        <v>54.597063393648313</v>
      </c>
      <c r="OD17" s="17">
        <f t="shared" si="372"/>
        <v>51.861148797199206</v>
      </c>
      <c r="OE17" s="17">
        <f t="shared" si="372"/>
        <v>51.861148797199206</v>
      </c>
      <c r="OF17" s="17">
        <f t="shared" si="372"/>
        <v>51.487699496471251</v>
      </c>
      <c r="OG17" s="17">
        <f t="shared" si="372"/>
        <v>51.487699496471265</v>
      </c>
      <c r="OH17" s="17">
        <f t="shared" si="372"/>
        <v>49.366770213675757</v>
      </c>
      <c r="OI17" s="17">
        <f t="shared" si="372"/>
        <v>49.36677021367575</v>
      </c>
      <c r="OJ17" s="17">
        <f t="shared" si="372"/>
        <v>53.018346543669296</v>
      </c>
      <c r="OK17" s="17">
        <f t="shared" si="372"/>
        <v>53.018346543669296</v>
      </c>
      <c r="OL17" s="17">
        <f t="shared" si="372"/>
        <v>53.786739167590056</v>
      </c>
      <c r="OM17" s="17">
        <f t="shared" si="372"/>
        <v>53.786739167590049</v>
      </c>
      <c r="ON17" s="17">
        <f t="shared" si="372"/>
        <v>62.051678643435402</v>
      </c>
      <c r="OO17" s="17">
        <f t="shared" si="372"/>
        <v>62.051678643435395</v>
      </c>
      <c r="OP17" s="17">
        <f t="shared" si="372"/>
        <v>51.40281132252484</v>
      </c>
      <c r="OQ17" s="17">
        <f t="shared" si="372"/>
        <v>51.40281132252484</v>
      </c>
      <c r="OR17" s="17">
        <f t="shared" si="372"/>
        <v>57.463887919736599</v>
      </c>
      <c r="OS17" s="17">
        <f t="shared" si="372"/>
        <v>57.463887919736614</v>
      </c>
      <c r="OT17" s="17">
        <f t="shared" si="372"/>
        <v>53.220543140369422</v>
      </c>
      <c r="OU17" s="17">
        <f t="shared" si="372"/>
        <v>53.220543140369401</v>
      </c>
      <c r="OV17" s="17">
        <f t="shared" si="372"/>
        <v>52.119352752372272</v>
      </c>
      <c r="OW17" s="17">
        <f t="shared" si="372"/>
        <v>52.119352752372272</v>
      </c>
      <c r="OX17" s="17">
        <f t="shared" si="372"/>
        <v>52.307275742398616</v>
      </c>
      <c r="OY17" s="17">
        <f t="shared" si="372"/>
        <v>52.307275742398616</v>
      </c>
      <c r="OZ17" s="17">
        <f t="shared" si="372"/>
        <v>53.597775545777125</v>
      </c>
      <c r="PA17" s="17">
        <f t="shared" si="372"/>
        <v>53.597775545777125</v>
      </c>
      <c r="PB17" s="17">
        <f t="shared" si="372"/>
        <v>52.511486999282639</v>
      </c>
      <c r="PC17" s="17">
        <f t="shared" si="372"/>
        <v>52.511486999282639</v>
      </c>
      <c r="PD17" s="17">
        <f t="shared" si="372"/>
        <v>50.935372712789061</v>
      </c>
      <c r="PE17" s="17">
        <f t="shared" si="372"/>
        <v>50.935372712789061</v>
      </c>
      <c r="PF17" s="17">
        <f t="shared" si="372"/>
        <v>51.288566550112911</v>
      </c>
      <c r="PG17" s="17">
        <f t="shared" si="372"/>
        <v>51.288566550112911</v>
      </c>
      <c r="PH17" s="17">
        <f t="shared" si="372"/>
        <v>50.689860628999369</v>
      </c>
      <c r="PI17" s="17">
        <f t="shared" si="372"/>
        <v>50.689860628999384</v>
      </c>
      <c r="PJ17" s="17">
        <f t="shared" si="372"/>
        <v>49.252810465634795</v>
      </c>
      <c r="PK17" s="17">
        <f t="shared" si="372"/>
        <v>49.252810465634781</v>
      </c>
      <c r="PL17" s="17">
        <f t="shared" si="372"/>
        <v>50.348674929238989</v>
      </c>
      <c r="PM17" s="17">
        <f t="shared" si="372"/>
        <v>50.348674929239003</v>
      </c>
      <c r="PN17" s="17">
        <f t="shared" si="372"/>
        <v>53.254827409525937</v>
      </c>
      <c r="PO17" s="17">
        <f t="shared" si="372"/>
        <v>53.25482740952593</v>
      </c>
      <c r="PP17" s="17">
        <f t="shared" si="372"/>
        <v>53.383004172085847</v>
      </c>
      <c r="PQ17" s="17">
        <f t="shared" si="372"/>
        <v>53.383004172085833</v>
      </c>
      <c r="PR17" s="17">
        <f t="shared" si="372"/>
        <v>51.533496700985658</v>
      </c>
      <c r="PS17" s="17">
        <f t="shared" si="372"/>
        <v>51.533496700985651</v>
      </c>
      <c r="PT17" s="17">
        <f t="shared" si="372"/>
        <v>53.539280206961507</v>
      </c>
      <c r="PU17" s="17">
        <f t="shared" si="372"/>
        <v>53.539280206961514</v>
      </c>
      <c r="PV17" s="17">
        <f t="shared" si="372"/>
        <v>56.548791380820539</v>
      </c>
      <c r="PW17" s="17">
        <f t="shared" si="372"/>
        <v>56.548791380820518</v>
      </c>
      <c r="PX17" s="17">
        <f t="shared" si="372"/>
        <v>52.516167391244828</v>
      </c>
      <c r="PY17" s="17">
        <f t="shared" si="372"/>
        <v>52.516167391244842</v>
      </c>
      <c r="PZ17" s="17">
        <f t="shared" si="372"/>
        <v>56.461333073263809</v>
      </c>
      <c r="QA17" s="17">
        <f t="shared" si="372"/>
        <v>56.461333073263795</v>
      </c>
      <c r="QB17" s="17">
        <f t="shared" si="372"/>
        <v>62.837619964809477</v>
      </c>
      <c r="QC17" s="17">
        <f t="shared" si="372"/>
        <v>62.837619964809463</v>
      </c>
      <c r="QD17" s="17">
        <f t="shared" si="372"/>
        <v>56.180399421575068</v>
      </c>
      <c r="QE17" s="17">
        <f t="shared" si="372"/>
        <v>56.180399421575054</v>
      </c>
      <c r="QF17" s="17">
        <f t="shared" si="372"/>
        <v>74.754696791452986</v>
      </c>
      <c r="QG17" s="17">
        <f t="shared" si="372"/>
        <v>74.754696791452972</v>
      </c>
      <c r="QH17" s="17">
        <f t="shared" si="372"/>
        <v>57.773478325786932</v>
      </c>
      <c r="QI17" s="17">
        <f t="shared" si="372"/>
        <v>57.773478325786918</v>
      </c>
      <c r="QJ17" s="17">
        <f t="shared" si="372"/>
        <v>62.43834517120915</v>
      </c>
      <c r="QK17" s="17">
        <f t="shared" ref="QK17:SV17" si="373">((QK15*(QK14-QK16)))/((QK14*(QK15-QK16)))*100</f>
        <v>62.43834517120915</v>
      </c>
      <c r="QL17" s="17">
        <f t="shared" si="373"/>
        <v>62.548698461755357</v>
      </c>
      <c r="QM17" s="17">
        <f t="shared" si="373"/>
        <v>62.548698461755357</v>
      </c>
      <c r="QN17" s="17">
        <f t="shared" si="373"/>
        <v>64.616029123398604</v>
      </c>
      <c r="QO17" s="17">
        <f t="shared" si="373"/>
        <v>64.61602912339859</v>
      </c>
      <c r="QP17" s="17">
        <f t="shared" si="373"/>
        <v>66.685716464666399</v>
      </c>
      <c r="QQ17" s="17">
        <f t="shared" si="373"/>
        <v>66.685716464666385</v>
      </c>
      <c r="QR17" s="17">
        <f t="shared" si="373"/>
        <v>70.257258703689246</v>
      </c>
      <c r="QS17" s="17">
        <f t="shared" si="373"/>
        <v>70.25725870368926</v>
      </c>
      <c r="QT17" s="17">
        <f t="shared" si="373"/>
        <v>64.242000080582557</v>
      </c>
      <c r="QU17" s="17">
        <f t="shared" si="373"/>
        <v>64.242000080582557</v>
      </c>
      <c r="QV17" s="17">
        <f t="shared" si="373"/>
        <v>65.323336355847886</v>
      </c>
      <c r="QW17" s="17">
        <f t="shared" si="373"/>
        <v>65.323336355847871</v>
      </c>
      <c r="QX17" s="17">
        <f t="shared" si="373"/>
        <v>66.171612033468264</v>
      </c>
      <c r="QY17" s="17">
        <f t="shared" si="373"/>
        <v>66.171612033468278</v>
      </c>
      <c r="QZ17" s="17">
        <f t="shared" si="373"/>
        <v>65.44755406828115</v>
      </c>
      <c r="RA17" s="17">
        <f t="shared" si="373"/>
        <v>65.44755406828115</v>
      </c>
      <c r="RB17" s="17">
        <f t="shared" si="373"/>
        <v>68.972050246377165</v>
      </c>
      <c r="RC17" s="17">
        <f t="shared" si="373"/>
        <v>68.972050246377179</v>
      </c>
      <c r="RD17" s="17">
        <f t="shared" si="373"/>
        <v>67.798997777494748</v>
      </c>
      <c r="RE17" s="17">
        <f t="shared" si="373"/>
        <v>67.798997777494748</v>
      </c>
      <c r="RF17" s="17">
        <f t="shared" si="373"/>
        <v>67.599265935132152</v>
      </c>
      <c r="RG17" s="17">
        <f t="shared" si="373"/>
        <v>67.599265935132152</v>
      </c>
      <c r="RH17" s="17">
        <f t="shared" si="373"/>
        <v>66.64207417667329</v>
      </c>
      <c r="RI17" s="17">
        <f t="shared" si="373"/>
        <v>66.642074176673319</v>
      </c>
      <c r="RJ17" s="17">
        <f t="shared" si="373"/>
        <v>65.884201723295291</v>
      </c>
      <c r="RK17" s="17">
        <f t="shared" si="373"/>
        <v>65.884201723295277</v>
      </c>
      <c r="RL17" s="17">
        <f t="shared" si="373"/>
        <v>68.267455104854321</v>
      </c>
      <c r="RM17" s="17">
        <f t="shared" si="373"/>
        <v>68.267455104854321</v>
      </c>
      <c r="RN17" s="17">
        <f t="shared" si="373"/>
        <v>71.557718629635332</v>
      </c>
      <c r="RO17" s="17">
        <f t="shared" si="373"/>
        <v>71.557718629635332</v>
      </c>
      <c r="RP17" s="17">
        <f t="shared" si="373"/>
        <v>69.867251896531883</v>
      </c>
      <c r="RQ17" s="17">
        <f t="shared" si="373"/>
        <v>69.867251896531883</v>
      </c>
      <c r="RR17" s="17">
        <f t="shared" si="373"/>
        <v>70.316366287770677</v>
      </c>
      <c r="RS17" s="17">
        <f t="shared" si="373"/>
        <v>70.316366287770677</v>
      </c>
      <c r="RT17" s="17">
        <f t="shared" si="373"/>
        <v>78.971434877735319</v>
      </c>
      <c r="RU17" s="17">
        <f t="shared" si="373"/>
        <v>78.971434877735319</v>
      </c>
      <c r="RV17" s="17">
        <f t="shared" si="373"/>
        <v>74.277130734049805</v>
      </c>
      <c r="RW17" s="17">
        <f t="shared" si="373"/>
        <v>74.277130734049791</v>
      </c>
      <c r="RX17" s="17">
        <f t="shared" si="373"/>
        <v>71.657342846618519</v>
      </c>
      <c r="RY17" s="17">
        <f t="shared" si="373"/>
        <v>71.657342846618519</v>
      </c>
      <c r="RZ17" s="17">
        <f t="shared" si="373"/>
        <v>75.87790446855864</v>
      </c>
      <c r="SA17" s="17">
        <f t="shared" si="373"/>
        <v>75.87790446855864</v>
      </c>
      <c r="SB17" s="17">
        <f t="shared" si="373"/>
        <v>75.454896791914365</v>
      </c>
      <c r="SC17" s="17">
        <f t="shared" si="373"/>
        <v>75.454896791914351</v>
      </c>
      <c r="SD17" s="17">
        <f t="shared" si="373"/>
        <v>77.235000586467564</v>
      </c>
      <c r="SE17" s="17">
        <f t="shared" si="373"/>
        <v>77.235000586467564</v>
      </c>
      <c r="SF17" s="17">
        <f t="shared" si="373"/>
        <v>74.193751762329413</v>
      </c>
      <c r="SG17" s="17">
        <f t="shared" si="373"/>
        <v>74.193751762329399</v>
      </c>
      <c r="SH17" s="17">
        <f t="shared" si="373"/>
        <v>74.312189998822163</v>
      </c>
      <c r="SI17" s="17">
        <f t="shared" si="373"/>
        <v>74.312189998822149</v>
      </c>
      <c r="SJ17" s="17">
        <f t="shared" si="373"/>
        <v>74.86417570391211</v>
      </c>
      <c r="SK17" s="17">
        <f t="shared" si="373"/>
        <v>74.864175703912125</v>
      </c>
      <c r="SL17" s="17">
        <f t="shared" si="373"/>
        <v>74.594629758163634</v>
      </c>
      <c r="SM17" s="17">
        <f t="shared" si="373"/>
        <v>74.594629758163649</v>
      </c>
      <c r="SN17" s="17">
        <f t="shared" si="373"/>
        <v>73.343895419355235</v>
      </c>
      <c r="SO17" s="17">
        <f t="shared" si="373"/>
        <v>73.343895419355249</v>
      </c>
      <c r="SP17" s="17">
        <f t="shared" si="373"/>
        <v>73.391150949570829</v>
      </c>
      <c r="SQ17" s="17">
        <f t="shared" si="373"/>
        <v>73.391150949570815</v>
      </c>
      <c r="SR17" s="17">
        <f t="shared" si="373"/>
        <v>70.597586042321709</v>
      </c>
      <c r="SS17" s="17">
        <f t="shared" si="373"/>
        <v>70.597586042321709</v>
      </c>
      <c r="ST17" s="17">
        <f t="shared" si="373"/>
        <v>68.417984995774177</v>
      </c>
      <c r="SU17" s="17">
        <f t="shared" si="373"/>
        <v>68.417984995774162</v>
      </c>
      <c r="SV17" s="17">
        <f t="shared" si="373"/>
        <v>69.574318090717725</v>
      </c>
      <c r="SW17" s="17">
        <f t="shared" ref="SW17:TW17" si="374">((SW15*(SW14-SW16)))/((SW14*(SW15-SW16)))*100</f>
        <v>69.574318090717725</v>
      </c>
      <c r="SX17" s="17">
        <f t="shared" si="374"/>
        <v>66.28880915309486</v>
      </c>
      <c r="SY17" s="17">
        <f t="shared" si="374"/>
        <v>66.288809153094846</v>
      </c>
      <c r="SZ17" s="17">
        <f t="shared" si="374"/>
        <v>75.569070357255796</v>
      </c>
      <c r="TA17" s="17">
        <f t="shared" si="374"/>
        <v>75.569070357255796</v>
      </c>
      <c r="TB17" s="17">
        <f t="shared" si="374"/>
        <v>74.361582932099751</v>
      </c>
      <c r="TC17" s="17">
        <f t="shared" si="374"/>
        <v>74.361582932099736</v>
      </c>
      <c r="TD17" s="17">
        <f t="shared" si="374"/>
        <v>72.130877950552716</v>
      </c>
      <c r="TE17" s="17">
        <f t="shared" si="374"/>
        <v>72.130877950552716</v>
      </c>
      <c r="TF17" s="17">
        <f t="shared" si="374"/>
        <v>75.997362780578996</v>
      </c>
      <c r="TG17" s="17">
        <f t="shared" si="374"/>
        <v>75.99736278057901</v>
      </c>
      <c r="TH17" s="17">
        <f t="shared" si="374"/>
        <v>75.532058544529306</v>
      </c>
      <c r="TI17" s="17">
        <f t="shared" si="374"/>
        <v>75.53205854452932</v>
      </c>
      <c r="TJ17" s="17">
        <f t="shared" si="374"/>
        <v>74.702862919612471</v>
      </c>
      <c r="TK17" s="17">
        <f t="shared" si="374"/>
        <v>74.702862919612485</v>
      </c>
      <c r="TL17" s="17">
        <f t="shared" si="374"/>
        <v>74.712520349505894</v>
      </c>
      <c r="TM17" s="17">
        <f t="shared" si="374"/>
        <v>74.71252034950588</v>
      </c>
      <c r="TN17" s="17">
        <f t="shared" si="374"/>
        <v>73.068200202532566</v>
      </c>
      <c r="TO17" s="17">
        <f t="shared" si="374"/>
        <v>73.068200202532552</v>
      </c>
      <c r="TP17" s="17">
        <f t="shared" si="374"/>
        <v>73.074590156153917</v>
      </c>
      <c r="TQ17" s="17">
        <f t="shared" si="374"/>
        <v>73.074590156153931</v>
      </c>
      <c r="TR17" s="17">
        <f t="shared" si="374"/>
        <v>73.458658710758925</v>
      </c>
      <c r="TS17" s="17">
        <f t="shared" si="374"/>
        <v>73.458658710758939</v>
      </c>
      <c r="TT17" s="17">
        <f t="shared" si="374"/>
        <v>71.437085470955253</v>
      </c>
      <c r="TU17" s="17">
        <f t="shared" si="374"/>
        <v>71.437085470955253</v>
      </c>
      <c r="TV17" s="17">
        <f t="shared" si="374"/>
        <v>71.449307547648829</v>
      </c>
      <c r="TW17" s="17">
        <f t="shared" si="374"/>
        <v>71.449307547648829</v>
      </c>
      <c r="TX17" s="17" t="e">
        <f t="shared" ref="TV17:UM17" si="375">((TX15*(TX14-TX16)))/((TX14*(TX15-TX16)))*100</f>
        <v>#DIV/0!</v>
      </c>
      <c r="TY17" s="17" t="e">
        <f t="shared" si="375"/>
        <v>#DIV/0!</v>
      </c>
      <c r="TZ17" s="17" t="e">
        <f t="shared" si="375"/>
        <v>#DIV/0!</v>
      </c>
      <c r="UA17" s="17" t="e">
        <f t="shared" si="375"/>
        <v>#DIV/0!</v>
      </c>
      <c r="UB17" s="17" t="e">
        <f t="shared" si="375"/>
        <v>#DIV/0!</v>
      </c>
      <c r="UC17" s="17" t="e">
        <f t="shared" si="375"/>
        <v>#DIV/0!</v>
      </c>
      <c r="UD17" s="17" t="e">
        <f t="shared" si="375"/>
        <v>#DIV/0!</v>
      </c>
      <c r="UE17" s="17" t="e">
        <f t="shared" si="375"/>
        <v>#DIV/0!</v>
      </c>
      <c r="UF17" s="17" t="e">
        <f t="shared" si="375"/>
        <v>#DIV/0!</v>
      </c>
      <c r="UG17" s="17" t="e">
        <f t="shared" si="375"/>
        <v>#DIV/0!</v>
      </c>
      <c r="UH17" s="17" t="e">
        <f t="shared" si="375"/>
        <v>#DIV/0!</v>
      </c>
      <c r="UI17" s="17" t="e">
        <f t="shared" si="375"/>
        <v>#DIV/0!</v>
      </c>
      <c r="UJ17" s="17" t="e">
        <f t="shared" si="375"/>
        <v>#DIV/0!</v>
      </c>
      <c r="UK17" s="17" t="e">
        <f t="shared" si="375"/>
        <v>#DIV/0!</v>
      </c>
      <c r="UL17" s="17" t="e">
        <f t="shared" si="375"/>
        <v>#DIV/0!</v>
      </c>
      <c r="UM17" s="17" t="e">
        <f t="shared" si="375"/>
        <v>#DIV/0!</v>
      </c>
      <c r="UN17" s="17" t="e">
        <f t="shared" ref="UN17:UY17" si="376">((UN15*(UN14-UN16)))/((UN14*(UN15-UN16)))*100</f>
        <v>#DIV/0!</v>
      </c>
      <c r="UO17" s="17" t="e">
        <f t="shared" si="376"/>
        <v>#DIV/0!</v>
      </c>
      <c r="UP17" s="17" t="e">
        <f t="shared" si="376"/>
        <v>#DIV/0!</v>
      </c>
      <c r="UQ17" s="17" t="e">
        <f t="shared" si="376"/>
        <v>#DIV/0!</v>
      </c>
      <c r="UR17" s="17" t="e">
        <f t="shared" si="376"/>
        <v>#DIV/0!</v>
      </c>
      <c r="US17" s="17" t="e">
        <f t="shared" si="376"/>
        <v>#DIV/0!</v>
      </c>
      <c r="UT17" s="17" t="e">
        <f t="shared" si="376"/>
        <v>#DIV/0!</v>
      </c>
      <c r="UU17" s="17" t="e">
        <f t="shared" si="376"/>
        <v>#DIV/0!</v>
      </c>
      <c r="UV17" s="17" t="e">
        <f t="shared" si="376"/>
        <v>#DIV/0!</v>
      </c>
      <c r="UW17" s="17" t="e">
        <f t="shared" si="376"/>
        <v>#DIV/0!</v>
      </c>
      <c r="UX17" s="17" t="e">
        <f t="shared" si="376"/>
        <v>#DIV/0!</v>
      </c>
      <c r="UY17" s="17" t="e">
        <f t="shared" si="376"/>
        <v>#DIV/0!</v>
      </c>
    </row>
    <row r="18" spans="2:587" ht="16" thickBot="1" x14ac:dyDescent="0.25">
      <c r="B18" s="54" t="s">
        <v>11</v>
      </c>
      <c r="C18" s="55"/>
      <c r="D18" s="24"/>
      <c r="E18" s="24"/>
      <c r="F18" s="25"/>
      <c r="G18" s="26"/>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JD18" s="25"/>
      <c r="JE18" s="25"/>
      <c r="JF18" s="25"/>
      <c r="JG18" s="25"/>
      <c r="JH18" s="25"/>
      <c r="JI18" s="25"/>
      <c r="JJ18" s="25"/>
      <c r="JK18" s="25"/>
      <c r="JL18" s="25"/>
      <c r="JM18" s="25"/>
      <c r="JN18" s="25"/>
      <c r="JO18" s="25"/>
      <c r="JP18" s="25"/>
      <c r="JQ18" s="25"/>
      <c r="JR18" s="25"/>
      <c r="JS18" s="25"/>
      <c r="JT18" s="25"/>
      <c r="JU18" s="25"/>
      <c r="JV18" s="25"/>
      <c r="JW18" s="25"/>
      <c r="JX18" s="25"/>
      <c r="JY18" s="25"/>
      <c r="JZ18" s="27"/>
      <c r="KA18" s="25"/>
      <c r="KB18" s="25"/>
      <c r="KC18" s="25"/>
      <c r="KD18" s="25"/>
      <c r="KE18" s="25"/>
      <c r="KF18" s="25"/>
      <c r="KG18" s="25"/>
      <c r="KH18" s="25"/>
      <c r="KI18" s="25"/>
      <c r="KJ18" s="25"/>
      <c r="KK18" s="25"/>
      <c r="KL18" s="25"/>
      <c r="KM18" s="25"/>
      <c r="KN18" s="25"/>
      <c r="KO18" s="25"/>
      <c r="KP18" s="25"/>
      <c r="KQ18" s="25"/>
      <c r="KR18" s="25"/>
      <c r="KS18" s="25"/>
      <c r="KT18" s="25"/>
      <c r="KU18" s="25"/>
      <c r="KV18" s="25"/>
      <c r="KW18" s="25"/>
      <c r="KX18" s="25"/>
      <c r="KY18" s="25"/>
      <c r="KZ18" s="25"/>
      <c r="LA18" s="25"/>
      <c r="LB18" s="25"/>
      <c r="LC18" s="25"/>
      <c r="LD18" s="25"/>
      <c r="LE18" s="25"/>
      <c r="LF18" s="25"/>
      <c r="LG18" s="25"/>
      <c r="LH18" s="25"/>
      <c r="LI18" s="25"/>
      <c r="LJ18" s="25"/>
      <c r="LK18" s="25"/>
      <c r="LL18" s="25"/>
      <c r="LM18" s="25"/>
      <c r="LN18" s="25"/>
      <c r="LO18" s="25"/>
      <c r="LP18" s="25"/>
      <c r="LQ18" s="25"/>
      <c r="LR18" s="25"/>
      <c r="LS18" s="25"/>
      <c r="LT18" s="25"/>
      <c r="LU18" s="25"/>
      <c r="LV18" s="25"/>
      <c r="LW18" s="25"/>
      <c r="LX18" s="25"/>
      <c r="LY18" s="25"/>
      <c r="LZ18" s="25"/>
      <c r="MA18" s="25"/>
      <c r="MB18" s="25"/>
      <c r="MC18" s="25"/>
      <c r="MD18" s="25"/>
      <c r="ME18" s="25"/>
      <c r="MF18" s="25"/>
      <c r="MG18" s="25"/>
      <c r="MH18" s="25"/>
      <c r="MI18" s="25"/>
      <c r="MJ18" s="25"/>
      <c r="MK18" s="25"/>
      <c r="ML18" s="25"/>
      <c r="MM18" s="25"/>
      <c r="MN18" s="25"/>
      <c r="MO18" s="25"/>
      <c r="MP18" s="25"/>
      <c r="MQ18" s="25"/>
      <c r="MR18" s="25"/>
      <c r="MS18" s="25"/>
      <c r="MT18" s="25"/>
      <c r="MU18" s="25"/>
      <c r="MV18" s="25"/>
      <c r="MW18" s="25"/>
      <c r="MX18" s="25"/>
      <c r="MY18" s="25"/>
      <c r="MZ18" s="25"/>
      <c r="NA18" s="25"/>
      <c r="NB18" s="25"/>
      <c r="NC18" s="25"/>
      <c r="ND18" s="25"/>
      <c r="NE18" s="25"/>
      <c r="NF18" s="25"/>
      <c r="NG18" s="25"/>
      <c r="NH18" s="25"/>
      <c r="NI18" s="25"/>
      <c r="NJ18" s="25"/>
      <c r="NK18" s="25"/>
      <c r="NL18" s="25"/>
      <c r="NM18" s="25"/>
      <c r="NN18" s="25"/>
      <c r="NO18" s="25"/>
      <c r="NP18" s="25"/>
      <c r="NQ18" s="25"/>
      <c r="NR18" s="25"/>
      <c r="NS18" s="25"/>
      <c r="NT18" s="25"/>
      <c r="NU18" s="25"/>
      <c r="NV18" s="25"/>
      <c r="NW18" s="25"/>
      <c r="NX18" s="25"/>
      <c r="NY18" s="25"/>
      <c r="NZ18" s="25"/>
      <c r="OA18" s="25"/>
      <c r="OB18" s="25"/>
      <c r="OC18" s="25"/>
      <c r="OD18" s="25"/>
      <c r="OE18" s="25"/>
      <c r="OF18" s="25"/>
      <c r="OG18" s="25"/>
      <c r="OH18" s="25"/>
      <c r="OI18" s="25"/>
      <c r="OJ18" s="25"/>
      <c r="OK18" s="25"/>
      <c r="OL18" s="25"/>
      <c r="OM18" s="25"/>
      <c r="ON18" s="25"/>
      <c r="OO18" s="25"/>
      <c r="OP18" s="25"/>
      <c r="OQ18" s="25"/>
      <c r="OR18" s="25"/>
      <c r="OS18" s="25"/>
      <c r="OT18" s="25"/>
      <c r="OU18" s="25"/>
      <c r="OV18" s="25"/>
      <c r="OW18" s="25"/>
      <c r="OX18" s="25"/>
      <c r="OY18" s="25"/>
      <c r="OZ18" s="25"/>
      <c r="PA18" s="25"/>
      <c r="PB18" s="25"/>
      <c r="PC18" s="25"/>
      <c r="PD18" s="25"/>
      <c r="PE18" s="25"/>
      <c r="PF18" s="25"/>
      <c r="PG18" s="25"/>
      <c r="PH18" s="25"/>
      <c r="PI18" s="25"/>
      <c r="PJ18" s="25"/>
      <c r="PK18" s="25"/>
      <c r="PL18" s="25"/>
      <c r="PM18" s="25"/>
      <c r="PN18" s="25"/>
      <c r="PO18" s="25"/>
      <c r="PP18" s="25"/>
      <c r="PQ18" s="25"/>
      <c r="PR18" s="25"/>
      <c r="PS18" s="25"/>
      <c r="PT18" s="25"/>
      <c r="PU18" s="25"/>
      <c r="PV18" s="25"/>
      <c r="PW18" s="25"/>
      <c r="PX18" s="25"/>
      <c r="PY18" s="25"/>
      <c r="PZ18" s="25"/>
      <c r="QA18" s="25"/>
      <c r="QB18" s="25"/>
      <c r="QC18" s="25"/>
      <c r="QD18" s="25"/>
      <c r="QE18" s="25"/>
      <c r="QF18" s="25"/>
      <c r="QG18" s="25"/>
      <c r="QH18" s="25"/>
      <c r="QI18" s="25"/>
      <c r="QJ18" s="25"/>
      <c r="QK18" s="25"/>
      <c r="QL18" s="25"/>
      <c r="QM18" s="25"/>
      <c r="QN18" s="25"/>
      <c r="QO18" s="25"/>
      <c r="QP18" s="25"/>
      <c r="QQ18" s="25"/>
      <c r="QR18" s="25"/>
      <c r="QS18" s="25"/>
      <c r="QT18" s="25"/>
      <c r="QU18" s="25"/>
      <c r="QV18" s="25"/>
      <c r="QW18" s="25"/>
      <c r="QX18" s="25"/>
      <c r="QY18" s="25"/>
      <c r="QZ18" s="25"/>
      <c r="RA18" s="25"/>
      <c r="RB18" s="25"/>
      <c r="RC18" s="25"/>
      <c r="RD18" s="25"/>
      <c r="RE18" s="25"/>
      <c r="RF18" s="25"/>
      <c r="RG18" s="25"/>
      <c r="RH18" s="25"/>
      <c r="RI18" s="25"/>
      <c r="RJ18" s="25"/>
      <c r="RK18" s="25"/>
      <c r="RL18" s="25"/>
      <c r="RM18" s="25"/>
      <c r="RN18" s="25"/>
      <c r="RO18" s="25"/>
      <c r="RP18" s="25"/>
      <c r="RQ18" s="25"/>
      <c r="RR18" s="25"/>
      <c r="RS18" s="25"/>
      <c r="RT18" s="25"/>
      <c r="RU18" s="25"/>
      <c r="RV18" s="25"/>
      <c r="RW18" s="25"/>
      <c r="RX18" s="25"/>
      <c r="RY18" s="25"/>
      <c r="RZ18" s="25"/>
      <c r="SA18" s="25"/>
      <c r="SB18" s="25"/>
      <c r="SC18" s="25"/>
      <c r="SD18" s="25"/>
      <c r="SE18" s="25"/>
      <c r="SF18" s="25"/>
      <c r="SG18" s="25"/>
      <c r="SH18" s="25"/>
      <c r="SI18" s="25"/>
      <c r="SJ18" s="25"/>
      <c r="SK18" s="25"/>
      <c r="SL18" s="25"/>
      <c r="SM18" s="25"/>
      <c r="SN18" s="25"/>
      <c r="SO18" s="25"/>
      <c r="SP18" s="25"/>
      <c r="SQ18" s="25"/>
      <c r="SR18" s="25"/>
      <c r="SS18" s="25"/>
      <c r="ST18" s="25"/>
      <c r="SU18" s="25"/>
      <c r="SV18" s="25"/>
      <c r="SW18" s="25"/>
      <c r="SX18" s="25"/>
      <c r="SY18" s="25"/>
      <c r="SZ18" s="25"/>
      <c r="TA18" s="25"/>
      <c r="TB18" s="25"/>
      <c r="TC18" s="25"/>
      <c r="TD18" s="25"/>
      <c r="TE18" s="25"/>
      <c r="TF18" s="25"/>
      <c r="TG18" s="25"/>
      <c r="TH18" s="25"/>
      <c r="TI18" s="25"/>
      <c r="TJ18" s="25"/>
      <c r="TK18" s="25"/>
      <c r="TL18" s="25"/>
      <c r="TM18" s="25"/>
      <c r="TN18" s="25"/>
      <c r="TO18" s="25"/>
      <c r="TP18" s="25"/>
      <c r="TQ18" s="25"/>
      <c r="TR18" s="25"/>
      <c r="TS18" s="25"/>
      <c r="TT18" s="25"/>
      <c r="TU18" s="28"/>
      <c r="TV18" s="25"/>
      <c r="TW18" s="25"/>
      <c r="TX18" s="25"/>
      <c r="TY18" s="25"/>
      <c r="TZ18" s="25"/>
      <c r="UA18" s="28"/>
      <c r="UB18" s="25"/>
      <c r="UC18" s="25"/>
      <c r="UD18" s="25"/>
      <c r="UE18" s="25"/>
      <c r="UF18" s="25"/>
      <c r="UG18" s="28"/>
      <c r="UH18" s="25"/>
      <c r="UI18" s="25"/>
      <c r="UJ18" s="25"/>
      <c r="UK18" s="25"/>
      <c r="UL18" s="25"/>
      <c r="UM18" s="28"/>
      <c r="UN18" s="25"/>
      <c r="UO18" s="25"/>
      <c r="UP18" s="25"/>
      <c r="UQ18" s="25"/>
      <c r="UR18" s="25"/>
      <c r="US18" s="28"/>
      <c r="UT18" s="25"/>
      <c r="UU18" s="25"/>
      <c r="UV18" s="25"/>
      <c r="UW18" s="25"/>
      <c r="UX18" s="25"/>
      <c r="UY18" s="28"/>
    </row>
    <row r="19" spans="2:587" x14ac:dyDescent="0.2">
      <c r="B19" s="13"/>
      <c r="C19" s="13"/>
      <c r="D19" s="14"/>
      <c r="E19" s="14"/>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15"/>
      <c r="CR19" s="15"/>
      <c r="CS19" s="15"/>
      <c r="CT19" s="15"/>
      <c r="CU19" s="15"/>
      <c r="CV19" s="15"/>
      <c r="CW19" s="15"/>
      <c r="CX19" s="15"/>
      <c r="CY19" s="15"/>
      <c r="CZ19" s="15"/>
      <c r="DA19" s="15"/>
      <c r="DB19" s="15"/>
      <c r="DC19" s="15"/>
      <c r="DD19" s="15"/>
      <c r="DE19" s="15"/>
      <c r="DF19" s="15"/>
      <c r="DG19" s="15"/>
      <c r="DH19" s="15"/>
      <c r="DI19" s="15"/>
      <c r="DJ19" s="15"/>
      <c r="DK19" s="15"/>
      <c r="DL19" s="15"/>
      <c r="DM19" s="15"/>
      <c r="DN19" s="15"/>
      <c r="DO19" s="15"/>
      <c r="DP19" s="15"/>
      <c r="DQ19" s="15"/>
      <c r="DR19" s="15"/>
      <c r="DS19" s="15"/>
      <c r="DT19" s="15"/>
      <c r="DU19" s="15"/>
      <c r="DV19" s="15"/>
      <c r="DW19" s="15"/>
      <c r="DX19" s="15"/>
      <c r="DY19" s="15"/>
      <c r="DZ19" s="15"/>
      <c r="EA19" s="15"/>
      <c r="EB19" s="15"/>
      <c r="EC19" s="15"/>
      <c r="ED19" s="15"/>
      <c r="EE19" s="15"/>
      <c r="EF19" s="15"/>
      <c r="EG19" s="15"/>
      <c r="EH19" s="15"/>
      <c r="EI19" s="15"/>
      <c r="EJ19" s="15"/>
      <c r="EK19" s="15"/>
      <c r="EL19" s="15"/>
      <c r="EM19" s="15"/>
      <c r="EN19" s="15"/>
      <c r="EO19" s="15"/>
      <c r="EP19" s="15"/>
      <c r="EQ19" s="15"/>
      <c r="ER19" s="15"/>
      <c r="ES19" s="15"/>
      <c r="ET19" s="15"/>
      <c r="EU19" s="15"/>
      <c r="EV19" s="15"/>
      <c r="EW19" s="15"/>
      <c r="EX19" s="15"/>
      <c r="EY19" s="15"/>
      <c r="EZ19" s="15"/>
      <c r="FA19" s="15"/>
      <c r="FB19" s="15"/>
      <c r="FC19" s="15"/>
      <c r="FD19" s="15"/>
      <c r="FE19" s="15"/>
      <c r="FF19" s="15"/>
      <c r="FG19" s="15"/>
      <c r="FH19" s="15"/>
      <c r="FI19" s="15"/>
      <c r="FJ19" s="15"/>
      <c r="FK19" s="15"/>
      <c r="FL19" s="15"/>
      <c r="FM19" s="15"/>
      <c r="FN19" s="15"/>
      <c r="FO19" s="15"/>
      <c r="FP19" s="15"/>
      <c r="FQ19" s="15"/>
      <c r="FR19" s="15"/>
      <c r="FS19" s="15"/>
      <c r="FT19" s="15"/>
      <c r="FU19" s="15"/>
      <c r="FV19" s="15"/>
      <c r="FW19" s="15"/>
      <c r="FX19" s="15"/>
      <c r="FY19" s="15"/>
      <c r="FZ19" s="15"/>
      <c r="GA19" s="15"/>
      <c r="GB19" s="15"/>
      <c r="GC19" s="15"/>
      <c r="GD19" s="15"/>
      <c r="GE19" s="15"/>
      <c r="GF19" s="15"/>
      <c r="GG19" s="15"/>
      <c r="GH19" s="15"/>
      <c r="GI19" s="15"/>
      <c r="GJ19" s="15"/>
      <c r="GK19" s="15"/>
      <c r="GL19" s="15"/>
      <c r="GM19" s="15"/>
      <c r="GN19" s="15"/>
      <c r="GO19" s="15"/>
      <c r="GP19" s="15"/>
      <c r="GQ19" s="15"/>
      <c r="GR19" s="15"/>
      <c r="GS19" s="15"/>
      <c r="GT19" s="15"/>
      <c r="GU19" s="15"/>
      <c r="GV19" s="15"/>
      <c r="GW19" s="15"/>
      <c r="GX19" s="15"/>
      <c r="GY19" s="15"/>
      <c r="GZ19" s="15"/>
      <c r="HA19" s="15"/>
      <c r="HB19" s="15"/>
      <c r="HC19" s="15"/>
      <c r="HD19" s="15"/>
      <c r="HE19" s="15"/>
      <c r="HF19" s="15"/>
      <c r="HG19" s="15"/>
      <c r="HH19" s="15"/>
      <c r="HI19" s="15"/>
      <c r="HJ19" s="15"/>
      <c r="HK19" s="15"/>
      <c r="HL19" s="15"/>
      <c r="HM19" s="15"/>
      <c r="HN19" s="15"/>
      <c r="HO19" s="15"/>
      <c r="HP19" s="15"/>
      <c r="HQ19" s="15"/>
      <c r="HR19" s="15"/>
      <c r="HS19" s="15"/>
      <c r="HT19" s="15"/>
      <c r="HU19" s="15"/>
      <c r="HV19" s="15"/>
      <c r="HW19" s="15"/>
      <c r="HX19" s="15"/>
      <c r="HY19" s="15"/>
      <c r="HZ19" s="15"/>
      <c r="IA19" s="15"/>
      <c r="IB19" s="15"/>
      <c r="IC19" s="15"/>
      <c r="ID19" s="15"/>
      <c r="IE19" s="15"/>
      <c r="IF19" s="15"/>
      <c r="IG19" s="15"/>
      <c r="IH19" s="15"/>
      <c r="II19" s="15"/>
      <c r="IJ19" s="15"/>
      <c r="IK19" s="15"/>
      <c r="IL19" s="15"/>
      <c r="IM19" s="15"/>
      <c r="IN19" s="15"/>
      <c r="IO19" s="15"/>
      <c r="IP19" s="15"/>
      <c r="IQ19" s="15"/>
      <c r="IR19" s="15"/>
      <c r="IS19" s="15"/>
      <c r="IT19" s="15"/>
      <c r="IU19" s="15"/>
      <c r="IV19" s="15"/>
      <c r="IW19" s="15"/>
      <c r="IX19" s="15"/>
      <c r="IY19" s="15"/>
      <c r="IZ19" s="15"/>
      <c r="JA19" s="15"/>
      <c r="JB19" s="15"/>
      <c r="JC19" s="15"/>
      <c r="JD19" s="15"/>
      <c r="JE19" s="15"/>
      <c r="JF19" s="15"/>
      <c r="JG19" s="15"/>
      <c r="JH19" s="15"/>
      <c r="JI19" s="15"/>
      <c r="JJ19" s="15"/>
      <c r="JK19" s="15"/>
      <c r="JL19" s="15"/>
      <c r="JM19" s="15"/>
      <c r="JN19" s="15"/>
      <c r="JO19" s="15"/>
      <c r="JP19" s="15"/>
      <c r="JQ19" s="15"/>
      <c r="JR19" s="15"/>
      <c r="JS19" s="15"/>
      <c r="JT19" s="15"/>
      <c r="JU19" s="15"/>
      <c r="JV19" s="15"/>
      <c r="JW19" s="15"/>
      <c r="JX19" s="15"/>
      <c r="JY19" s="15"/>
      <c r="JZ19" s="16"/>
      <c r="KA19" s="15"/>
      <c r="KB19" s="15"/>
      <c r="KC19" s="15"/>
      <c r="KD19" s="15"/>
      <c r="KE19" s="15"/>
      <c r="KF19" s="15"/>
      <c r="KG19" s="15"/>
      <c r="KH19" s="15"/>
      <c r="KI19" s="15"/>
      <c r="KJ19" s="15"/>
      <c r="KK19" s="15"/>
      <c r="KL19" s="15"/>
      <c r="KM19" s="15"/>
      <c r="KN19" s="15"/>
      <c r="KO19" s="15"/>
      <c r="KP19" s="15"/>
      <c r="KQ19" s="15"/>
      <c r="KR19" s="15"/>
      <c r="KS19" s="15"/>
      <c r="KT19" s="15"/>
      <c r="KU19" s="15"/>
      <c r="KV19" s="15"/>
      <c r="KW19" s="15"/>
      <c r="KX19" s="15"/>
      <c r="KY19" s="15"/>
      <c r="KZ19" s="15"/>
      <c r="LA19" s="15"/>
      <c r="LB19" s="15"/>
      <c r="LC19" s="15"/>
      <c r="LD19" s="15"/>
      <c r="LE19" s="15"/>
      <c r="LF19" s="15"/>
      <c r="LG19" s="15"/>
      <c r="LH19" s="15"/>
      <c r="LI19" s="15"/>
      <c r="LJ19" s="15"/>
      <c r="LK19" s="15"/>
      <c r="LL19" s="15"/>
      <c r="LM19" s="15"/>
      <c r="LN19" s="15"/>
      <c r="LO19" s="15"/>
      <c r="LP19" s="15"/>
      <c r="LQ19" s="15"/>
      <c r="LR19" s="15"/>
      <c r="LS19" s="15"/>
      <c r="LT19" s="15"/>
      <c r="LU19" s="15"/>
      <c r="LV19" s="15"/>
      <c r="LW19" s="15"/>
      <c r="LX19" s="15"/>
      <c r="LY19" s="15"/>
      <c r="LZ19" s="15"/>
      <c r="MA19" s="15"/>
      <c r="MB19" s="15"/>
      <c r="MC19" s="15"/>
      <c r="MD19" s="15"/>
      <c r="ME19" s="15"/>
      <c r="MF19" s="15"/>
      <c r="MG19" s="15"/>
      <c r="MH19" s="15"/>
      <c r="MI19" s="15"/>
      <c r="MJ19" s="15"/>
      <c r="MK19" s="15"/>
      <c r="ML19" s="15"/>
      <c r="MM19" s="15"/>
      <c r="MN19" s="15"/>
      <c r="MO19" s="15"/>
      <c r="MP19" s="15"/>
      <c r="MQ19" s="15"/>
      <c r="MR19" s="15"/>
      <c r="MS19" s="15"/>
      <c r="MT19" s="15"/>
      <c r="MU19" s="15"/>
      <c r="MV19" s="15"/>
      <c r="MW19" s="15"/>
      <c r="MX19" s="15"/>
      <c r="MY19" s="15"/>
      <c r="MZ19" s="15"/>
      <c r="NA19" s="15"/>
      <c r="NB19" s="15"/>
      <c r="NC19" s="15"/>
      <c r="ND19" s="15"/>
      <c r="NE19" s="15"/>
      <c r="NF19" s="15"/>
      <c r="NG19" s="15"/>
      <c r="NH19" s="15"/>
      <c r="NI19" s="15"/>
      <c r="NJ19" s="15"/>
      <c r="NK19" s="15"/>
      <c r="NL19" s="15"/>
      <c r="NM19" s="15"/>
      <c r="NN19" s="15"/>
      <c r="NO19" s="15"/>
      <c r="NP19" s="15"/>
      <c r="NQ19" s="15"/>
      <c r="NR19" s="15"/>
      <c r="NS19" s="15"/>
      <c r="NT19" s="15"/>
      <c r="NU19" s="15"/>
      <c r="NV19" s="15"/>
      <c r="NW19" s="15"/>
      <c r="NX19" s="15"/>
      <c r="NY19" s="15"/>
      <c r="NZ19" s="15"/>
      <c r="OA19" s="15"/>
      <c r="OB19" s="15"/>
      <c r="OC19" s="15"/>
      <c r="OD19" s="15"/>
      <c r="OE19" s="15"/>
      <c r="OF19" s="15"/>
      <c r="OG19" s="15"/>
      <c r="OH19" s="15"/>
      <c r="OI19" s="15"/>
      <c r="OJ19" s="15"/>
      <c r="OK19" s="15"/>
      <c r="OL19" s="15"/>
      <c r="OM19" s="15"/>
      <c r="ON19" s="15"/>
      <c r="OO19" s="15"/>
      <c r="OP19" s="15"/>
      <c r="OQ19" s="15"/>
      <c r="OR19" s="15"/>
      <c r="OS19" s="15"/>
      <c r="OT19" s="15"/>
      <c r="OU19" s="15"/>
      <c r="OV19" s="15"/>
      <c r="OW19" s="15"/>
      <c r="OX19" s="15"/>
      <c r="OY19" s="15"/>
      <c r="OZ19" s="15"/>
      <c r="PA19" s="15"/>
      <c r="PB19" s="15"/>
      <c r="PC19" s="15"/>
      <c r="PD19" s="15"/>
      <c r="PE19" s="15"/>
      <c r="PF19" s="15"/>
      <c r="PG19" s="15"/>
      <c r="PH19" s="15"/>
      <c r="PI19" s="15"/>
      <c r="PJ19" s="15"/>
      <c r="PK19" s="15"/>
      <c r="PL19" s="15"/>
      <c r="PM19" s="15"/>
      <c r="PN19" s="15"/>
      <c r="PO19" s="15"/>
      <c r="PP19" s="15"/>
      <c r="PQ19" s="15"/>
      <c r="PR19" s="15"/>
      <c r="PS19" s="15"/>
      <c r="PT19" s="15"/>
      <c r="PU19" s="15"/>
      <c r="PV19" s="15"/>
      <c r="PW19" s="15"/>
      <c r="PX19" s="15"/>
      <c r="PY19" s="15"/>
      <c r="PZ19" s="15"/>
      <c r="QA19" s="15"/>
      <c r="QB19" s="15"/>
      <c r="QC19" s="15"/>
      <c r="QD19" s="15"/>
      <c r="QE19" s="15"/>
      <c r="QF19" s="15"/>
      <c r="QG19" s="15"/>
      <c r="QH19" s="15"/>
      <c r="QI19" s="15"/>
      <c r="QJ19" s="15"/>
      <c r="QK19" s="15"/>
      <c r="QL19" s="15"/>
      <c r="QM19" s="15"/>
      <c r="QN19" s="15"/>
      <c r="QO19" s="15"/>
      <c r="QP19" s="15"/>
      <c r="QQ19" s="15"/>
      <c r="QR19" s="15"/>
      <c r="QS19" s="15"/>
      <c r="QT19" s="15"/>
      <c r="QU19" s="15"/>
      <c r="QV19" s="15"/>
      <c r="QW19" s="15"/>
      <c r="QX19" s="15"/>
      <c r="QY19" s="15"/>
      <c r="QZ19" s="15"/>
      <c r="RA19" s="15"/>
      <c r="RB19" s="15"/>
      <c r="RC19" s="15"/>
      <c r="RD19" s="15"/>
      <c r="RE19" s="15"/>
      <c r="RF19" s="15"/>
      <c r="RG19" s="15"/>
      <c r="RH19" s="15"/>
      <c r="RI19" s="15"/>
      <c r="RJ19" s="15"/>
      <c r="RK19" s="15"/>
      <c r="RL19" s="15"/>
      <c r="RM19" s="15"/>
      <c r="RN19" s="15"/>
      <c r="RO19" s="15"/>
      <c r="RP19" s="15"/>
      <c r="RQ19" s="15"/>
      <c r="RR19" s="15"/>
      <c r="RS19" s="15"/>
      <c r="RT19" s="15"/>
      <c r="RU19" s="15"/>
      <c r="RV19" s="15"/>
      <c r="RW19" s="15"/>
      <c r="RX19" s="15"/>
      <c r="RY19" s="15"/>
      <c r="RZ19" s="15"/>
      <c r="SA19" s="15"/>
      <c r="SB19" s="15"/>
      <c r="SC19" s="15"/>
      <c r="SD19" s="15"/>
      <c r="SE19" s="15"/>
      <c r="SF19" s="15"/>
      <c r="SG19" s="15"/>
      <c r="SH19" s="15"/>
      <c r="SI19" s="15"/>
      <c r="SJ19" s="15"/>
      <c r="SK19" s="15"/>
      <c r="SL19" s="15"/>
      <c r="SM19" s="15"/>
      <c r="SN19" s="15"/>
      <c r="SO19" s="15"/>
      <c r="SP19" s="15"/>
      <c r="SQ19" s="15"/>
      <c r="SR19" s="15"/>
      <c r="SS19" s="15"/>
      <c r="ST19" s="15"/>
      <c r="SU19" s="15"/>
      <c r="SV19" s="15"/>
      <c r="SW19" s="15"/>
      <c r="SX19" s="15"/>
      <c r="SY19" s="15"/>
      <c r="SZ19" s="15"/>
      <c r="TA19" s="15"/>
      <c r="TB19" s="15"/>
      <c r="TC19" s="15"/>
      <c r="TD19" s="15"/>
      <c r="TE19" s="15"/>
      <c r="TF19" s="15"/>
      <c r="TG19" s="15"/>
      <c r="TH19" s="15"/>
      <c r="TI19" s="15"/>
      <c r="TJ19" s="15"/>
      <c r="TK19" s="15"/>
      <c r="TL19" s="15"/>
      <c r="TM19" s="15"/>
      <c r="TN19" s="15"/>
      <c r="TO19" s="15"/>
      <c r="TP19" s="15"/>
      <c r="TQ19" s="15"/>
      <c r="TR19" s="15"/>
      <c r="TS19" s="15"/>
      <c r="TT19" s="15"/>
      <c r="TU19" s="15"/>
    </row>
    <row r="20" spans="2:587" ht="18" thickBot="1" x14ac:dyDescent="0.25">
      <c r="F20" s="3"/>
      <c r="G20" s="3"/>
      <c r="KB20" s="39" t="s">
        <v>59</v>
      </c>
      <c r="KC20" s="40"/>
      <c r="KD20" s="40"/>
      <c r="KE20" s="40"/>
      <c r="KF20" s="40"/>
      <c r="KG20" s="40"/>
      <c r="KH20" s="40"/>
      <c r="KI20" s="40"/>
      <c r="KJ20" s="40"/>
      <c r="KK20" s="40"/>
      <c r="KL20" s="40"/>
      <c r="KM20" s="40"/>
      <c r="KN20" s="40"/>
      <c r="KO20" s="40"/>
      <c r="KP20" s="40"/>
      <c r="KQ20" s="40"/>
      <c r="KR20" s="40"/>
      <c r="KS20" s="40"/>
      <c r="KT20" s="40"/>
      <c r="KU20" s="40"/>
      <c r="KV20" s="56" t="s">
        <v>58</v>
      </c>
      <c r="KW20" s="56"/>
      <c r="KX20" s="56"/>
      <c r="KY20" s="56"/>
      <c r="KZ20" s="56"/>
      <c r="LA20" s="56"/>
      <c r="LB20" s="56"/>
      <c r="LC20" s="56"/>
      <c r="LD20" s="56"/>
      <c r="LE20" s="56"/>
      <c r="LF20" s="56"/>
      <c r="LG20" s="56"/>
      <c r="LH20" s="56"/>
      <c r="LI20" s="56"/>
      <c r="LJ20" s="56"/>
      <c r="LK20" s="56"/>
      <c r="LL20" s="56"/>
      <c r="LM20" s="56"/>
      <c r="LN20" s="56"/>
      <c r="LO20" s="56"/>
      <c r="LP20" s="41" t="s">
        <v>57</v>
      </c>
      <c r="LQ20" s="42"/>
      <c r="LR20" s="42"/>
      <c r="LS20" s="42"/>
      <c r="LT20" s="42"/>
      <c r="LU20" s="42"/>
      <c r="LV20" s="42"/>
      <c r="LW20" s="42"/>
      <c r="LX20" s="42"/>
      <c r="LY20" s="42"/>
      <c r="LZ20" s="42"/>
      <c r="MA20" s="42"/>
      <c r="MB20" s="42"/>
      <c r="MC20" s="42"/>
      <c r="MD20" s="42"/>
      <c r="ME20" s="42"/>
      <c r="MF20" s="42"/>
      <c r="MG20" s="42"/>
      <c r="MH20" s="42"/>
      <c r="MI20" s="42"/>
      <c r="MJ20" s="39" t="s">
        <v>59</v>
      </c>
      <c r="MK20" s="40"/>
      <c r="ML20" s="40"/>
      <c r="MM20" s="40"/>
      <c r="MN20" s="40"/>
      <c r="MO20" s="40"/>
      <c r="MP20" s="40"/>
      <c r="MQ20" s="40"/>
      <c r="MR20" s="40"/>
      <c r="MS20" s="40"/>
      <c r="MT20" s="40"/>
      <c r="MU20" s="40"/>
      <c r="MV20" s="40"/>
      <c r="MW20" s="40"/>
      <c r="MX20" s="40"/>
      <c r="MY20" s="40"/>
      <c r="MZ20" s="40"/>
      <c r="NA20" s="40"/>
      <c r="NB20" s="40"/>
      <c r="NC20" s="40"/>
      <c r="ND20" s="56" t="s">
        <v>58</v>
      </c>
      <c r="NE20" s="57"/>
      <c r="NF20" s="57"/>
      <c r="NG20" s="57"/>
      <c r="NH20" s="57"/>
      <c r="NI20" s="57"/>
      <c r="NJ20" s="57"/>
      <c r="NK20" s="57"/>
      <c r="NL20" s="57"/>
      <c r="NM20" s="57"/>
      <c r="NN20" s="57"/>
      <c r="NO20" s="57"/>
      <c r="NP20" s="57"/>
      <c r="NQ20" s="57"/>
      <c r="NR20" s="57"/>
      <c r="NS20" s="57"/>
      <c r="NT20" s="57"/>
      <c r="NU20" s="57"/>
      <c r="NV20" s="57"/>
      <c r="NW20" s="57"/>
      <c r="NX20" s="41" t="s">
        <v>57</v>
      </c>
      <c r="NY20" s="42"/>
      <c r="NZ20" s="42"/>
      <c r="OA20" s="42"/>
      <c r="OB20" s="42"/>
      <c r="OC20" s="42"/>
      <c r="OD20" s="42"/>
      <c r="OE20" s="42"/>
      <c r="OF20" s="42"/>
      <c r="OG20" s="42"/>
      <c r="OH20" s="42"/>
      <c r="OI20" s="42"/>
      <c r="OJ20" s="42"/>
      <c r="OK20" s="42"/>
      <c r="OL20" s="42"/>
      <c r="OM20" s="42"/>
      <c r="ON20" s="42"/>
      <c r="OO20" s="42"/>
      <c r="OP20" s="42"/>
      <c r="OQ20" s="42"/>
      <c r="OR20" s="39" t="s">
        <v>59</v>
      </c>
      <c r="OS20" s="40"/>
      <c r="OT20" s="40"/>
      <c r="OU20" s="40"/>
      <c r="OV20" s="40"/>
      <c r="OW20" s="40"/>
      <c r="OX20" s="40"/>
      <c r="OY20" s="40"/>
      <c r="OZ20" s="40"/>
      <c r="PA20" s="40"/>
      <c r="PB20" s="40"/>
      <c r="PC20" s="40"/>
      <c r="PD20" s="40"/>
      <c r="PE20" s="40"/>
      <c r="PF20" s="40"/>
      <c r="PG20" s="40"/>
      <c r="PH20" s="40"/>
      <c r="PI20" s="40"/>
      <c r="PJ20" s="40"/>
      <c r="PK20" s="40"/>
      <c r="PL20" s="56" t="s">
        <v>58</v>
      </c>
      <c r="PM20" s="57"/>
      <c r="PN20" s="57"/>
      <c r="PO20" s="57"/>
      <c r="PP20" s="57"/>
      <c r="PQ20" s="57"/>
      <c r="PR20" s="57"/>
      <c r="PS20" s="57"/>
      <c r="PT20" s="57"/>
      <c r="PU20" s="57"/>
      <c r="PV20" s="57"/>
      <c r="PW20" s="57"/>
      <c r="PX20" s="57"/>
      <c r="PY20" s="57"/>
      <c r="PZ20" s="57"/>
      <c r="QA20" s="57"/>
      <c r="QB20" s="57"/>
      <c r="QC20" s="57"/>
      <c r="QD20" s="57"/>
      <c r="QE20" s="57"/>
      <c r="QF20" s="41" t="s">
        <v>57</v>
      </c>
      <c r="QG20" s="42"/>
      <c r="QH20" s="42"/>
      <c r="QI20" s="42"/>
      <c r="QJ20" s="42"/>
      <c r="QK20" s="42"/>
      <c r="QL20" s="42"/>
      <c r="QM20" s="42"/>
      <c r="QN20" s="42"/>
      <c r="QO20" s="42"/>
      <c r="QP20" s="42"/>
      <c r="QQ20" s="42"/>
      <c r="QR20" s="42"/>
      <c r="QS20" s="42"/>
      <c r="QT20" s="42"/>
      <c r="QU20" s="42"/>
      <c r="QV20" s="42"/>
      <c r="QW20" s="42"/>
      <c r="QX20" s="42"/>
      <c r="QY20" s="42"/>
      <c r="QZ20" s="39" t="s">
        <v>59</v>
      </c>
      <c r="RA20" s="40"/>
      <c r="RB20" s="40"/>
      <c r="RC20" s="40"/>
      <c r="RD20" s="40"/>
      <c r="RE20" s="40"/>
      <c r="RF20" s="40"/>
      <c r="RG20" s="40"/>
      <c r="RH20" s="40"/>
      <c r="RI20" s="40"/>
      <c r="RJ20" s="40"/>
      <c r="RK20" s="40"/>
      <c r="RL20" s="40"/>
      <c r="RM20" s="40"/>
      <c r="RN20" s="40"/>
      <c r="RO20" s="40"/>
      <c r="RP20" s="40"/>
      <c r="RQ20" s="40"/>
      <c r="RR20" s="40"/>
      <c r="RS20" s="40"/>
      <c r="RT20" s="56" t="s">
        <v>58</v>
      </c>
      <c r="RU20" s="57"/>
      <c r="RV20" s="57"/>
      <c r="RW20" s="57"/>
      <c r="RX20" s="57"/>
      <c r="RY20" s="57"/>
      <c r="RZ20" s="57"/>
      <c r="SA20" s="57"/>
      <c r="SB20" s="57"/>
      <c r="SC20" s="57"/>
      <c r="SD20" s="57"/>
      <c r="SE20" s="57"/>
      <c r="SF20" s="57"/>
      <c r="SG20" s="57"/>
      <c r="SH20" s="57"/>
      <c r="SI20" s="57"/>
      <c r="SJ20" s="57"/>
      <c r="SK20" s="57"/>
      <c r="SL20" s="57"/>
      <c r="SM20" s="57"/>
      <c r="SN20" s="41" t="s">
        <v>57</v>
      </c>
      <c r="SO20" s="42"/>
      <c r="SP20" s="42"/>
      <c r="SQ20" s="42"/>
      <c r="SR20" s="42"/>
      <c r="SS20" s="42"/>
      <c r="ST20" s="42"/>
      <c r="SU20" s="42"/>
      <c r="SV20" s="42"/>
      <c r="SW20" s="42"/>
      <c r="SX20" s="42"/>
      <c r="SY20" s="42"/>
      <c r="SZ20" s="42"/>
      <c r="TA20" s="42"/>
      <c r="TB20" s="42"/>
      <c r="TC20" s="42"/>
      <c r="TD20" s="42"/>
      <c r="TE20" s="42"/>
      <c r="TF20" s="42"/>
      <c r="TG20" s="42"/>
      <c r="TH20" s="39" t="s">
        <v>59</v>
      </c>
      <c r="TI20" s="40"/>
      <c r="TJ20" s="40"/>
      <c r="TK20" s="40"/>
      <c r="TL20" s="40"/>
      <c r="TM20" s="40"/>
      <c r="TN20" s="40"/>
      <c r="TO20" s="40"/>
      <c r="TP20" s="40"/>
      <c r="TQ20" s="40"/>
      <c r="TR20" s="40"/>
      <c r="TS20" s="40"/>
      <c r="TT20" s="40"/>
      <c r="TU20" s="40"/>
      <c r="TV20" s="40"/>
      <c r="TW20" s="40"/>
      <c r="TX20" s="40"/>
      <c r="TY20" s="40"/>
      <c r="TZ20" s="40"/>
      <c r="UA20" s="40"/>
      <c r="UB20" s="56" t="s">
        <v>58</v>
      </c>
      <c r="UC20" s="57"/>
      <c r="UD20" s="57"/>
      <c r="UE20" s="57"/>
      <c r="UF20" s="57"/>
      <c r="UG20" s="57"/>
      <c r="UH20" s="57"/>
      <c r="UI20" s="57"/>
      <c r="UJ20" s="57"/>
      <c r="UK20" s="57"/>
      <c r="UL20" s="57"/>
      <c r="UM20" s="57"/>
      <c r="UN20" s="57"/>
      <c r="UO20" s="57"/>
      <c r="UP20" s="57"/>
      <c r="UQ20" s="57"/>
      <c r="UR20" s="57"/>
      <c r="US20" s="57"/>
      <c r="UT20" s="57"/>
      <c r="UU20" s="57"/>
      <c r="UV20" s="41" t="s">
        <v>57</v>
      </c>
      <c r="UW20" s="42"/>
      <c r="UX20" s="42"/>
      <c r="UY20" s="42"/>
      <c r="UZ20" s="42"/>
      <c r="VA20" s="42"/>
      <c r="VB20" s="42"/>
      <c r="VC20" s="42"/>
      <c r="VD20" s="42"/>
      <c r="VE20" s="42"/>
      <c r="VF20" s="42"/>
      <c r="VG20" s="42"/>
      <c r="VH20" s="42"/>
      <c r="VI20" s="42"/>
      <c r="VJ20" s="42"/>
      <c r="VK20" s="42"/>
      <c r="VL20" s="42"/>
      <c r="VM20" s="42"/>
      <c r="VN20" s="42"/>
      <c r="VO20" s="42"/>
    </row>
    <row r="21" spans="2:587" x14ac:dyDescent="0.2">
      <c r="B21" s="43" t="s">
        <v>12</v>
      </c>
      <c r="C21" s="33" t="s">
        <v>7</v>
      </c>
      <c r="D21" s="29">
        <v>3.738</v>
      </c>
      <c r="E21" s="29">
        <v>0.12</v>
      </c>
      <c r="F21" s="29">
        <v>3.7120000000000002</v>
      </c>
      <c r="G21" s="29">
        <v>0.11899999999999999</v>
      </c>
      <c r="H21" s="29">
        <v>3.298</v>
      </c>
      <c r="I21" s="30">
        <f t="shared" ref="I21:K24" si="377">H21/31.10348013</f>
        <v>0.10603315083121535</v>
      </c>
      <c r="J21" s="29">
        <v>3.4710000000000001</v>
      </c>
      <c r="K21" s="30">
        <f t="shared" si="377"/>
        <v>0.11159522939210083</v>
      </c>
      <c r="L21" s="29">
        <v>3.6960000000000002</v>
      </c>
      <c r="M21" s="30">
        <f>L21/31.10348013</f>
        <v>0.11882914659556458</v>
      </c>
      <c r="N21" s="29">
        <v>3.5739999999999998</v>
      </c>
      <c r="O21" s="30">
        <f>N21/31.10348013</f>
        <v>0.11490675593413088</v>
      </c>
      <c r="P21" s="29">
        <v>3.1850000000000001</v>
      </c>
      <c r="Q21" s="30">
        <f>P21/31.10348013</f>
        <v>0.10240011685792023</v>
      </c>
      <c r="R21" s="29">
        <v>3.206</v>
      </c>
      <c r="S21" s="30">
        <f>R21/31.10348013</f>
        <v>0.10307528246357685</v>
      </c>
      <c r="T21" s="29">
        <v>2.9089999999999998</v>
      </c>
      <c r="U21" s="30">
        <f>T21/31.10348013</f>
        <v>9.352651175500469E-2</v>
      </c>
      <c r="V21" s="29">
        <v>3.3290000000000002</v>
      </c>
      <c r="W21" s="30">
        <f>V21/31.10348013</f>
        <v>0.10702982386813703</v>
      </c>
      <c r="X21" s="29">
        <v>3.6040000000000001</v>
      </c>
      <c r="Y21" s="30">
        <f>X21/31.10348013</f>
        <v>0.11587127822792606</v>
      </c>
      <c r="Z21" s="29">
        <v>3.8220000000000001</v>
      </c>
      <c r="AA21" s="30">
        <f>Z21/31.10348013</f>
        <v>0.12288014022950428</v>
      </c>
      <c r="AB21" s="29">
        <v>3.2919999999999998</v>
      </c>
      <c r="AC21" s="30">
        <f>AB21/31.10348013</f>
        <v>0.10584024637245631</v>
      </c>
      <c r="AD21" s="29">
        <v>3.5489999999999999</v>
      </c>
      <c r="AE21" s="30">
        <f>AD21/31.10348013</f>
        <v>0.11410298735596826</v>
      </c>
      <c r="AF21" s="29">
        <v>3.2719999999999998</v>
      </c>
      <c r="AG21" s="30">
        <f>AF21/31.10348013</f>
        <v>0.1051972315099262</v>
      </c>
      <c r="AH21" s="29">
        <v>3.5680000000000001</v>
      </c>
      <c r="AI21" s="30">
        <f t="shared" ref="AI21:AK22" si="378">AH21/31.10348013</f>
        <v>0.11471385147537186</v>
      </c>
      <c r="AJ21" s="29">
        <v>4.0359999999999996</v>
      </c>
      <c r="AK21" s="30">
        <f t="shared" si="378"/>
        <v>0.12976039925857646</v>
      </c>
      <c r="AL21" s="29">
        <v>3.7349999999999999</v>
      </c>
      <c r="AM21" s="30">
        <f>AL21/31.10348013</f>
        <v>0.12008302557749828</v>
      </c>
      <c r="AN21" s="29">
        <v>3.2240000000000002</v>
      </c>
      <c r="AO21" s="30">
        <f>AN21/31.10348013</f>
        <v>0.10365399583985395</v>
      </c>
      <c r="AP21" s="29">
        <v>3.43</v>
      </c>
      <c r="AQ21" s="30">
        <f>AP21/31.10348013</f>
        <v>0.1102770489239141</v>
      </c>
      <c r="AR21" s="29">
        <v>2.9239999999999999</v>
      </c>
      <c r="AS21" s="30">
        <f>AR21/31.10348013</f>
        <v>9.4008772901902279E-2</v>
      </c>
      <c r="AT21" s="30">
        <v>2.6459999999999999</v>
      </c>
      <c r="AU21" s="30">
        <f>AT21/31.10348013</f>
        <v>8.5070866312733723E-2</v>
      </c>
      <c r="AV21" s="30">
        <v>2.6749999999999998</v>
      </c>
      <c r="AW21" s="30">
        <f>AV21/31.10348013</f>
        <v>8.6003237863402388E-2</v>
      </c>
      <c r="AX21" s="30">
        <v>2.9249999999999998</v>
      </c>
      <c r="AY21" s="30">
        <f>AX21/31.10348013</f>
        <v>9.4040923645028779E-2</v>
      </c>
      <c r="AZ21" s="30">
        <v>3.0470000000000002</v>
      </c>
      <c r="BA21" s="30">
        <f>AZ21/31.10348013</f>
        <v>9.7963314306462462E-2</v>
      </c>
      <c r="BB21" s="29">
        <v>2.7669999999999999</v>
      </c>
      <c r="BC21" s="30">
        <f>BB21/31.10348013</f>
        <v>8.8961106231040893E-2</v>
      </c>
      <c r="BD21" s="29">
        <v>3.9129999999999998</v>
      </c>
      <c r="BE21" s="30">
        <f>BD21/31.10348013</f>
        <v>0.12580585785401627</v>
      </c>
      <c r="BF21" s="30">
        <v>3.4079999999999999</v>
      </c>
      <c r="BG21" s="30">
        <f>BF21/31.10348013</f>
        <v>0.10956973257513097</v>
      </c>
      <c r="BH21" s="29">
        <v>3.2280000000000002</v>
      </c>
      <c r="BI21" s="30">
        <f>BH21/31.10348013</f>
        <v>0.10378259881235997</v>
      </c>
      <c r="BJ21" s="29">
        <v>3.2090000000000001</v>
      </c>
      <c r="BK21" s="30">
        <f>BJ21/31.10348013</f>
        <v>0.10317173469295636</v>
      </c>
      <c r="BL21" s="29">
        <v>3.3010000000000002</v>
      </c>
      <c r="BM21" s="30">
        <f>BL21/31.10348013</f>
        <v>0.10612960306059488</v>
      </c>
      <c r="BN21" s="29">
        <v>3.0059999999999998</v>
      </c>
      <c r="BO21" s="30">
        <f>BN21/31.10348013</f>
        <v>9.6645133838275721E-2</v>
      </c>
      <c r="BP21" s="29">
        <v>3.6179999999999999</v>
      </c>
      <c r="BQ21" s="30">
        <f>BP21/31.10348013</f>
        <v>0.11632138863169714</v>
      </c>
      <c r="BR21" s="29">
        <v>2.9089999999999998</v>
      </c>
      <c r="BS21" s="30">
        <f>BR21/31.10348013</f>
        <v>9.352651175500469E-2</v>
      </c>
      <c r="BT21" s="29">
        <v>2.988</v>
      </c>
      <c r="BU21" s="30">
        <f t="shared" ref="BU21:BW22" si="379">BT21/31.10348013</f>
        <v>9.6066420461998633E-2</v>
      </c>
      <c r="BV21" s="29">
        <v>3.2040000000000002</v>
      </c>
      <c r="BW21" s="30">
        <f t="shared" si="379"/>
        <v>0.10301098097732383</v>
      </c>
      <c r="BX21" s="29">
        <v>3.0179999999999998</v>
      </c>
      <c r="BY21" s="30">
        <f>BX21/31.10348013</f>
        <v>9.7030942755793798E-2</v>
      </c>
      <c r="BZ21" s="29">
        <v>3.0720000000000001</v>
      </c>
      <c r="CA21" s="30">
        <f>BZ21/31.10348013</f>
        <v>9.8767082884625101E-2</v>
      </c>
      <c r="CB21" s="29">
        <v>3.2040000000000002</v>
      </c>
      <c r="CC21" s="30">
        <f>CB21/31.10348013</f>
        <v>0.10301098097732383</v>
      </c>
      <c r="CD21" s="29">
        <v>3.0070000000000001</v>
      </c>
      <c r="CE21" s="30">
        <f>CD21/31.10348013</f>
        <v>9.6677284581402248E-2</v>
      </c>
      <c r="CF21" s="29">
        <v>2.9489999999999998</v>
      </c>
      <c r="CG21" s="30">
        <f>CF21/31.10348013</f>
        <v>9.4812541480064905E-2</v>
      </c>
      <c r="CH21" s="29">
        <v>2.9569999999999999</v>
      </c>
      <c r="CI21" s="30">
        <f>CH21/31.10348013</f>
        <v>9.5069747425076956E-2</v>
      </c>
      <c r="CJ21" s="29">
        <v>3.004</v>
      </c>
      <c r="CK21" s="30">
        <f>CJ21/31.10348013</f>
        <v>9.6580832352022722E-2</v>
      </c>
      <c r="CL21" s="29">
        <v>3.645</v>
      </c>
      <c r="CM21" s="30">
        <f>CL21/31.10348013</f>
        <v>0.11718945869611279</v>
      </c>
      <c r="CN21" s="29">
        <v>3.181</v>
      </c>
      <c r="CO21" s="30">
        <f>CN21/31.10348013</f>
        <v>0.10227151388541421</v>
      </c>
      <c r="CP21" s="29">
        <v>3.2050000000000001</v>
      </c>
      <c r="CQ21" s="30">
        <f>CP21/31.10348013</f>
        <v>0.10304313172045035</v>
      </c>
      <c r="CR21" s="29">
        <v>3.19</v>
      </c>
      <c r="CS21" s="30">
        <f>CR21/31.10348013</f>
        <v>0.10256087057355276</v>
      </c>
      <c r="CT21" s="29">
        <v>3.0680000000000001</v>
      </c>
      <c r="CU21" s="30">
        <f>CT21/31.10348013</f>
        <v>9.8638479912119076E-2</v>
      </c>
      <c r="CV21" s="29">
        <v>3.242</v>
      </c>
      <c r="CW21" s="29"/>
      <c r="CX21" s="29">
        <v>2.629</v>
      </c>
      <c r="CY21" s="29"/>
      <c r="CZ21" s="29">
        <v>2.754</v>
      </c>
      <c r="DA21" s="30">
        <f>CZ21/31.10348013</f>
        <v>8.8543146570396331E-2</v>
      </c>
      <c r="DB21" s="29">
        <v>2.802</v>
      </c>
      <c r="DC21" s="30">
        <f>DB21/31.10348013</f>
        <v>9.0086382240468596E-2</v>
      </c>
      <c r="DD21" s="29">
        <v>2.8570000000000002</v>
      </c>
      <c r="DE21" s="30">
        <f>DD21/31.10348013</f>
        <v>9.1854673112426413E-2</v>
      </c>
      <c r="DF21" s="29">
        <v>2.7410000000000001</v>
      </c>
      <c r="DG21" s="30">
        <f>DF21/31.10348013</f>
        <v>8.8125186909751754E-2</v>
      </c>
      <c r="DH21" s="29">
        <v>2.6030000000000002</v>
      </c>
      <c r="DI21" s="30">
        <f>DH21/31.10348013</f>
        <v>8.3688384358293996E-2</v>
      </c>
      <c r="DJ21" s="29">
        <v>2.7509999999999999</v>
      </c>
      <c r="DK21" s="30">
        <f>DJ21/31.10348013</f>
        <v>8.8446694341016804E-2</v>
      </c>
      <c r="DL21" s="29">
        <v>2.6160000000000001</v>
      </c>
      <c r="DM21" s="30">
        <f>DL21/31.10348013</f>
        <v>8.4106344018938559E-2</v>
      </c>
      <c r="DN21" s="29">
        <v>2.819</v>
      </c>
      <c r="DO21" s="30">
        <f>DN21/31.10348013</f>
        <v>9.0632944873619184E-2</v>
      </c>
      <c r="DP21" s="29">
        <v>2.8340000000000001</v>
      </c>
      <c r="DQ21" s="30">
        <f>DP21/31.10348013</f>
        <v>9.1115206020516773E-2</v>
      </c>
      <c r="DR21" s="29">
        <v>2.7210000000000001</v>
      </c>
      <c r="DS21" s="30">
        <f>DR21/31.10348013</f>
        <v>8.7482172047221654E-2</v>
      </c>
      <c r="DT21" s="29">
        <v>2.7930000000000001</v>
      </c>
      <c r="DU21" s="30">
        <f>DT21/31.10348013</f>
        <v>8.9797025552330045E-2</v>
      </c>
      <c r="DV21" s="29">
        <v>2.706</v>
      </c>
      <c r="DW21" s="30">
        <f>DV21/31.10348013</f>
        <v>8.6999910900324065E-2</v>
      </c>
      <c r="DX21" s="29">
        <v>2.8119999999999998</v>
      </c>
      <c r="DY21" s="30">
        <f>DX21/31.10348013</f>
        <v>9.0407889671733646E-2</v>
      </c>
      <c r="DZ21" s="29">
        <v>2.4180000000000001</v>
      </c>
      <c r="EA21" s="30">
        <f>DZ21/31.10348013</f>
        <v>7.7740496879890458E-2</v>
      </c>
      <c r="EB21" s="29">
        <v>2.823</v>
      </c>
      <c r="EC21" s="30">
        <f>EB21/31.10348013</f>
        <v>9.076154784612521E-2</v>
      </c>
      <c r="ED21" s="29">
        <v>2.7690000000000001</v>
      </c>
      <c r="EE21" s="30">
        <f>ED21/31.10348013</f>
        <v>8.902540771729392E-2</v>
      </c>
      <c r="EF21" s="29">
        <v>3.2029999999999998</v>
      </c>
      <c r="EG21" s="30">
        <f>EF21/31.10348013</f>
        <v>0.10297883023419732</v>
      </c>
      <c r="EH21" s="29">
        <v>3.0939999999999999</v>
      </c>
      <c r="EI21" s="30">
        <f>EH21/31.10348013</f>
        <v>9.9474399233408214E-2</v>
      </c>
      <c r="EJ21" s="29">
        <v>3.1680000000000001</v>
      </c>
      <c r="EK21" s="30">
        <f>EJ21/31.10348013</f>
        <v>0.10185355422476963</v>
      </c>
      <c r="EL21" s="29">
        <v>3.177</v>
      </c>
      <c r="EM21" s="30">
        <f>EL21/31.10348013</f>
        <v>0.10214291091290818</v>
      </c>
      <c r="EN21" s="29">
        <v>3.0329999999999999</v>
      </c>
      <c r="EO21" s="30">
        <f>EN21/31.10348013</f>
        <v>9.7513203902691387E-2</v>
      </c>
      <c r="EP21" s="29">
        <v>2.9660000000000002</v>
      </c>
      <c r="EQ21" s="30">
        <f>EP21/31.10348013</f>
        <v>9.535910411321552E-2</v>
      </c>
      <c r="ER21" s="29">
        <v>2.9649999999999999</v>
      </c>
      <c r="ES21" s="30">
        <f>ER21/31.10348013</f>
        <v>9.5326953370088993E-2</v>
      </c>
      <c r="ET21" s="29">
        <v>3.3180000000000001</v>
      </c>
      <c r="EU21" s="30">
        <f>ET21/31.10348013</f>
        <v>0.10667616569374547</v>
      </c>
      <c r="EV21" s="29">
        <v>3.7789999999999999</v>
      </c>
      <c r="EW21" s="30">
        <f>EV21/31.10348013</f>
        <v>0.12149765827506454</v>
      </c>
      <c r="EX21" s="29">
        <v>3.0169999999999999</v>
      </c>
      <c r="EY21" s="30">
        <f>EX21/31.10348013</f>
        <v>9.6998792012667284E-2</v>
      </c>
      <c r="EZ21" s="29">
        <v>3.2120000000000002</v>
      </c>
      <c r="FA21" s="30">
        <f>EZ21/31.10348013</f>
        <v>0.10326818692233589</v>
      </c>
      <c r="FB21" s="29">
        <v>3.903</v>
      </c>
      <c r="FC21" s="30">
        <f>FB21/31.10348013</f>
        <v>0.12548435042275122</v>
      </c>
      <c r="FD21" s="29">
        <v>3.089</v>
      </c>
      <c r="FE21" s="30">
        <f>FD21/31.10348013</f>
        <v>9.9313645517775689E-2</v>
      </c>
      <c r="FF21" s="29">
        <v>3.238</v>
      </c>
      <c r="FG21" s="30">
        <f>FF21/31.10348013</f>
        <v>0.10410410624362502</v>
      </c>
      <c r="FH21" s="29">
        <v>3.2170000000000001</v>
      </c>
      <c r="FI21" s="30">
        <f>FH21/31.10348013</f>
        <v>0.10342894063796841</v>
      </c>
      <c r="FJ21" s="29">
        <v>4.2409999999999997</v>
      </c>
      <c r="FK21" s="30">
        <f>FJ21/31.10348013</f>
        <v>0.13635130159951009</v>
      </c>
      <c r="FL21" s="29">
        <v>4.4480000000000004</v>
      </c>
      <c r="FM21" s="30">
        <f>FL21/31.10348013</f>
        <v>0.14300650542669677</v>
      </c>
      <c r="FN21" s="29">
        <v>3.5529999999999999</v>
      </c>
      <c r="FO21" s="30">
        <f>FN21/31.10348013</f>
        <v>0.11423159032847427</v>
      </c>
      <c r="FP21" s="29">
        <v>3.4089999999999998</v>
      </c>
      <c r="FQ21" s="30">
        <f>FP21/31.10348013</f>
        <v>0.10960188331825747</v>
      </c>
      <c r="FR21" s="29">
        <v>3.407</v>
      </c>
      <c r="FS21" s="30">
        <f>FR21/31.10348013</f>
        <v>0.10953758183200446</v>
      </c>
      <c r="FT21" s="29">
        <v>3.3279999999999998</v>
      </c>
      <c r="FU21" s="30">
        <f>FT21/31.10348013</f>
        <v>0.10699767312501052</v>
      </c>
      <c r="FV21" s="29">
        <v>3.0390000000000001</v>
      </c>
      <c r="FW21" s="30">
        <f>FV21/31.10348013</f>
        <v>9.7706108361450425E-2</v>
      </c>
      <c r="FX21" s="29">
        <v>3.2989999999999999</v>
      </c>
      <c r="FY21" s="30">
        <f>FX21/31.10348013</f>
        <v>0.10606530157434187</v>
      </c>
      <c r="FZ21" s="29">
        <v>3.3140000000000001</v>
      </c>
      <c r="GA21" s="30">
        <f>FZ21/31.10348013</f>
        <v>0.10654756272123946</v>
      </c>
      <c r="GB21" s="29">
        <v>3.1139999999999999</v>
      </c>
      <c r="GC21" s="30">
        <f>GB21/31.10348013</f>
        <v>0.10011741409593833</v>
      </c>
      <c r="GD21" s="29">
        <v>3.6219999999999999</v>
      </c>
      <c r="GE21" s="30">
        <f>GD21/31.10348013</f>
        <v>0.11644999160420316</v>
      </c>
      <c r="GF21" s="29">
        <v>3.1869999999999998</v>
      </c>
      <c r="GG21" s="30">
        <f>GF21/31.10348013</f>
        <v>0.10246441834417323</v>
      </c>
      <c r="GH21" s="29">
        <v>3.2120000000000002</v>
      </c>
      <c r="GI21" s="30">
        <f>GH21/31.10348013</f>
        <v>0.10326818692233589</v>
      </c>
      <c r="GJ21" s="29">
        <v>3.3210000000000002</v>
      </c>
      <c r="GK21" s="30">
        <f>GJ21/31.10348013</f>
        <v>0.10677261792312499</v>
      </c>
      <c r="GL21" s="29">
        <v>3.1419999999999999</v>
      </c>
      <c r="GM21" s="30">
        <f>GL21/31.10348013</f>
        <v>0.10101763490348048</v>
      </c>
      <c r="GN21" s="29">
        <v>3.0059999999999998</v>
      </c>
      <c r="GO21" s="30">
        <f>GN21/31.10348013</f>
        <v>9.6645133838275721E-2</v>
      </c>
      <c r="GP21" s="29">
        <v>2.7610000000000001</v>
      </c>
      <c r="GQ21" s="30">
        <f>GP21/31.10348013</f>
        <v>8.8768201772281868E-2</v>
      </c>
      <c r="GR21" s="29">
        <v>3.1909999999999998</v>
      </c>
      <c r="GS21" s="30">
        <f>GR21/31.10348013</f>
        <v>0.10259302131667926</v>
      </c>
      <c r="GT21" s="29">
        <v>2.952</v>
      </c>
      <c r="GU21" s="30">
        <f>GT21/31.10348013</f>
        <v>9.4908993709444431E-2</v>
      </c>
      <c r="GV21" s="29">
        <v>2.9540000000000002</v>
      </c>
      <c r="GW21" s="30">
        <f>GV21/31.10348013</f>
        <v>9.4973295195697444E-2</v>
      </c>
      <c r="GX21" s="29">
        <v>4.0279999999999996</v>
      </c>
      <c r="GY21" s="30">
        <f>GX21/31.10348013</f>
        <v>0.12950319331356441</v>
      </c>
      <c r="GZ21" s="29">
        <v>3.7360000000000002</v>
      </c>
      <c r="HA21" s="30">
        <f>GZ21/31.10348013</f>
        <v>0.12011517632062481</v>
      </c>
      <c r="HB21" s="29">
        <v>3.1309999999999998</v>
      </c>
      <c r="HC21" s="30">
        <f>HB21/31.10348013</f>
        <v>0.10066397672908892</v>
      </c>
      <c r="HD21" s="29">
        <v>4.3650000000000002</v>
      </c>
      <c r="HE21" s="30">
        <f>HD21/31.10348013</f>
        <v>0.1403379937471968</v>
      </c>
      <c r="HF21" s="29">
        <v>3.9340000000000002</v>
      </c>
      <c r="HG21" s="30">
        <f>HF21/31.10348013</f>
        <v>0.12648102345967291</v>
      </c>
      <c r="HH21" s="29">
        <v>3.1720000000000002</v>
      </c>
      <c r="HI21" s="30">
        <f>HH21/31.10348013</f>
        <v>0.10198215719727566</v>
      </c>
      <c r="HJ21" s="29">
        <v>3.1880000000000002</v>
      </c>
      <c r="HK21" s="30">
        <f>HJ21/31.10348013</f>
        <v>0.10249656908729975</v>
      </c>
      <c r="HL21" s="29">
        <v>3.306</v>
      </c>
      <c r="HM21" s="30">
        <f t="shared" ref="HM21:HM24" si="380">HL21/31.10348013</f>
        <v>0.1062903567762274</v>
      </c>
      <c r="HN21" s="29">
        <v>3.4369999999999998</v>
      </c>
      <c r="HO21" s="30">
        <f t="shared" ref="HO21:HO24" si="381">HN21/31.10348013</f>
        <v>0.11050210412579962</v>
      </c>
      <c r="HP21" s="29">
        <v>3.5680000000000001</v>
      </c>
      <c r="HQ21" s="30">
        <f t="shared" ref="HQ21:HQ24" si="382">HP21/31.10348013</f>
        <v>0.11471385147537186</v>
      </c>
      <c r="HR21" s="29">
        <v>2.875</v>
      </c>
      <c r="HS21" s="30">
        <f t="shared" ref="HS21:HS24" si="383">HR21/31.10348013</f>
        <v>9.2433386488703501E-2</v>
      </c>
      <c r="HT21" s="29">
        <v>2.839</v>
      </c>
      <c r="HU21" s="30">
        <f t="shared" ref="HU21:HU24" si="384">HT21/31.10348013</f>
        <v>9.1275959736149298E-2</v>
      </c>
      <c r="HV21" s="29">
        <v>2.7069999999999999</v>
      </c>
      <c r="HW21" s="30">
        <f t="shared" ref="HW21:HW24" si="385">HV21/31.10348013</f>
        <v>8.7032061643450565E-2</v>
      </c>
      <c r="HX21" s="29">
        <v>3.1829999999999998</v>
      </c>
      <c r="HY21" s="30">
        <f t="shared" ref="HY21:HY24" si="386">HX21/31.10348013</f>
        <v>0.10233581537166721</v>
      </c>
      <c r="HZ21" s="29">
        <v>2.9020000000000001</v>
      </c>
      <c r="IA21" s="30">
        <f t="shared" ref="IA21:IA24" si="387">HZ21/31.10348013</f>
        <v>9.3301456553119153E-2</v>
      </c>
      <c r="IB21" s="29">
        <v>3.38</v>
      </c>
      <c r="IC21" s="30">
        <f t="shared" ref="IC21:IC24" si="388">IB21/31.10348013</f>
        <v>0.10866951176758881</v>
      </c>
      <c r="ID21" s="29">
        <v>2.4660000000000002</v>
      </c>
      <c r="IE21" s="30">
        <f t="shared" ref="IE21:IE24" si="389">ID21/31.10348013</f>
        <v>7.9283732549962738E-2</v>
      </c>
      <c r="IF21" s="29">
        <v>3.016</v>
      </c>
      <c r="IG21" s="30">
        <f t="shared" ref="IG21:IG24" si="390">IF21/31.10348013</f>
        <v>9.6966641269540785E-2</v>
      </c>
      <c r="IH21" s="29">
        <v>3.008</v>
      </c>
      <c r="II21" s="30">
        <f t="shared" ref="II21:II24" si="391">IH21/31.10348013</f>
        <v>9.6709435324528747E-2</v>
      </c>
      <c r="IJ21" s="29">
        <v>2.9529999999999998</v>
      </c>
      <c r="IK21" s="30">
        <f t="shared" ref="IK21:IK24" si="392">IJ21/31.10348013</f>
        <v>9.494114445257093E-2</v>
      </c>
      <c r="IL21" s="29">
        <v>2.9409999999999998</v>
      </c>
      <c r="IM21" s="30">
        <f t="shared" ref="IM21:IM24" si="393">IL21/31.10348013</f>
        <v>9.4555335535052867E-2</v>
      </c>
      <c r="IN21" s="29">
        <v>3.048</v>
      </c>
      <c r="IO21" s="30">
        <f t="shared" ref="IO21:IO24" si="394">IN21/31.10348013</f>
        <v>9.7995465049588962E-2</v>
      </c>
      <c r="IP21" s="29">
        <v>2.8959999999999999</v>
      </c>
      <c r="IQ21" s="30">
        <f t="shared" ref="IQ21:IQ24" si="395">IP21/31.10348013</f>
        <v>9.3108552094360114E-2</v>
      </c>
      <c r="IR21" s="29">
        <v>2.9119999999999999</v>
      </c>
      <c r="IS21" s="30">
        <f t="shared" ref="IS21:IS24" si="396">IR21/31.10348013</f>
        <v>9.3622963984384203E-2</v>
      </c>
      <c r="IT21" s="29">
        <v>2.9369999999999998</v>
      </c>
      <c r="IU21" s="30">
        <f t="shared" ref="IU21:IU24" si="397">IT21/31.10348013</f>
        <v>9.4426732562546842E-2</v>
      </c>
      <c r="IV21" s="29">
        <v>2.8149999999999999</v>
      </c>
      <c r="IW21" s="30">
        <f t="shared" ref="IW21:IW24" si="398">IV21/31.10348013</f>
        <v>9.0504341901113172E-2</v>
      </c>
      <c r="IX21" s="29">
        <v>3.8879999999999999</v>
      </c>
      <c r="IY21" s="30">
        <f t="shared" ref="IY21:IY24" si="399">IX21/31.10348013</f>
        <v>0.12500208927585363</v>
      </c>
      <c r="IZ21" s="29">
        <v>3.8679999999999999</v>
      </c>
      <c r="JA21" s="30">
        <f t="shared" ref="JA21:JA24" si="400">IZ21/31.10348013</f>
        <v>0.12435907441332353</v>
      </c>
      <c r="JB21" s="29">
        <v>3.2879999999999998</v>
      </c>
      <c r="JC21" s="30">
        <f t="shared" ref="JC21:JC24" si="401">JB21/31.10348013</f>
        <v>0.1057116433999503</v>
      </c>
      <c r="JD21" s="29">
        <v>3.8279999999999998</v>
      </c>
      <c r="JE21" s="30">
        <f t="shared" ref="JE21:JE24" si="402">JD21/31.10348013</f>
        <v>0.1230730446882633</v>
      </c>
      <c r="JF21" s="29">
        <v>3.1949999999999998</v>
      </c>
      <c r="JG21" s="30">
        <f t="shared" ref="JG21:JG24" si="403">JF21/31.10348013</f>
        <v>0.10272162428918528</v>
      </c>
      <c r="JH21" s="29">
        <v>3.1019999999999999</v>
      </c>
      <c r="JI21" s="30">
        <f t="shared" ref="JI21:JI24" si="404">JH21/31.10348013</f>
        <v>9.9731605178420266E-2</v>
      </c>
      <c r="JJ21" s="29">
        <v>3.149</v>
      </c>
      <c r="JK21" s="30">
        <f t="shared" ref="JK21:JK24" si="405">JJ21/31.10348013</f>
        <v>0.10124269010536603</v>
      </c>
      <c r="JL21" s="29">
        <v>3.2120000000000002</v>
      </c>
      <c r="JM21" s="30">
        <f t="shared" ref="JM21:JM24" si="406">JL21/31.10348013</f>
        <v>0.10326818692233589</v>
      </c>
      <c r="JN21" s="29">
        <v>3.1139999999999999</v>
      </c>
      <c r="JO21" s="30">
        <f t="shared" ref="JO21:JO24" si="407">JN21/31.10348013</f>
        <v>0.10011741409593833</v>
      </c>
      <c r="JP21" s="29">
        <v>2.879</v>
      </c>
      <c r="JQ21" s="30">
        <f t="shared" ref="JQ21:JQ24" si="408">JP21/31.10348013</f>
        <v>9.2561989461209526E-2</v>
      </c>
      <c r="JR21" s="29">
        <v>3.3570000000000002</v>
      </c>
      <c r="JS21" s="30">
        <f t="shared" ref="JS21:JS24" si="409">JR21/31.10348013</f>
        <v>0.1079300446756792</v>
      </c>
      <c r="JT21" s="29">
        <v>3.702</v>
      </c>
      <c r="JU21" s="30">
        <f t="shared" ref="JU21:JU24" si="410">JT21/31.10348013</f>
        <v>0.1190220510543236</v>
      </c>
      <c r="JV21" s="29">
        <v>3.577</v>
      </c>
      <c r="JW21" s="30">
        <f t="shared" ref="JW21:JW24" si="411">JV21/31.10348013</f>
        <v>0.11500320816351041</v>
      </c>
      <c r="JX21" s="29">
        <v>3.8820000000000001</v>
      </c>
      <c r="JY21" s="30">
        <f t="shared" ref="JY21:JY24" si="412">JX21/31.10348013</f>
        <v>0.12480918481709462</v>
      </c>
      <c r="JZ21" s="29">
        <v>3.246</v>
      </c>
      <c r="KA21" s="30">
        <f t="shared" ref="KA21:KA24" si="413">JZ21/31.10348013</f>
        <v>0.10436131218863706</v>
      </c>
      <c r="KB21" s="29">
        <v>3.1739999999999999</v>
      </c>
      <c r="KC21" s="30">
        <f t="shared" ref="KC21:KC24" si="414">KB21/31.10348013</f>
        <v>0.10204645868352867</v>
      </c>
      <c r="KD21" s="29">
        <v>3.1949999999999998</v>
      </c>
      <c r="KE21" s="30">
        <f t="shared" ref="KE21:KE24" si="415">KD21/31.10348013</f>
        <v>0.10272162428918528</v>
      </c>
      <c r="KF21" s="29">
        <v>3.1739999999999999</v>
      </c>
      <c r="KG21" s="30">
        <f t="shared" ref="KG21:KG24" si="416">KF21/31.10348013</f>
        <v>0.10204645868352867</v>
      </c>
      <c r="KH21" s="29">
        <v>3.1509999999999998</v>
      </c>
      <c r="KI21" s="30">
        <f t="shared" ref="KI21:KI24" si="417">KH21/31.10348013</f>
        <v>0.10130699159161903</v>
      </c>
      <c r="KJ21" s="29">
        <v>3.085</v>
      </c>
      <c r="KK21" s="30">
        <f t="shared" ref="KK21:KK24" si="418">KJ21/31.10348013</f>
        <v>9.9185042545269678E-2</v>
      </c>
      <c r="KL21" s="29">
        <v>3.0950000000000002</v>
      </c>
      <c r="KM21" s="30">
        <f t="shared" ref="KM21:KM24" si="419">KL21/31.10348013</f>
        <v>9.9506549976534728E-2</v>
      </c>
      <c r="KN21" s="29">
        <v>3.1920000000000002</v>
      </c>
      <c r="KO21" s="30">
        <f t="shared" ref="KO21:KO24" si="420">KN21/31.10348013</f>
        <v>0.10262517205980577</v>
      </c>
      <c r="KP21" s="29">
        <v>3.2120000000000002</v>
      </c>
      <c r="KQ21" s="30">
        <f t="shared" ref="KQ21:KQ24" si="421">KP21/31.10348013</f>
        <v>0.10326818692233589</v>
      </c>
      <c r="KR21" s="29">
        <v>3.2370000000000001</v>
      </c>
      <c r="KS21" s="30">
        <f t="shared" ref="KS21:KS24" si="422">KR21/31.10348013</f>
        <v>0.10407195550049853</v>
      </c>
      <c r="KT21" s="29">
        <v>3.8119999999999998</v>
      </c>
      <c r="KU21" s="30">
        <f t="shared" ref="KU21:KU24" si="423">KT21/31.10348013</f>
        <v>0.12255863279823921</v>
      </c>
      <c r="KV21" s="29">
        <v>3.5760000000000001</v>
      </c>
      <c r="KW21" s="30">
        <f t="shared" ref="KW21:KW24" si="424">KV21/31.10348013</f>
        <v>0.11497105742038391</v>
      </c>
      <c r="KX21" s="29">
        <v>3.2570000000000001</v>
      </c>
      <c r="KY21" s="30">
        <f t="shared" ref="KY21:KY24" si="425">KX21/31.10348013</f>
        <v>0.10471497036302864</v>
      </c>
      <c r="KZ21" s="29">
        <v>3.7109999999999999</v>
      </c>
      <c r="LA21" s="30">
        <f t="shared" ref="LA21:LA24" si="426">KZ21/31.10348013</f>
        <v>0.11931140774246216</v>
      </c>
      <c r="LB21" s="29">
        <v>3.0870000000000002</v>
      </c>
      <c r="LC21" s="30">
        <f t="shared" ref="LC21:LC24" si="427">LB21/31.10348013</f>
        <v>9.924934403152269E-2</v>
      </c>
      <c r="LD21" s="29">
        <v>2.9380000000000002</v>
      </c>
      <c r="LE21" s="30">
        <f t="shared" ref="LE21:LE24" si="428">LD21/31.10348013</f>
        <v>9.4458883305673355E-2</v>
      </c>
      <c r="LF21" s="29">
        <v>2.8959999999999999</v>
      </c>
      <c r="LG21" s="30">
        <f t="shared" ref="LG21:LG24" si="429">LF21/31.10348013</f>
        <v>9.3108552094360114E-2</v>
      </c>
      <c r="LH21" s="29">
        <v>3.0419999999999998</v>
      </c>
      <c r="LI21" s="30">
        <f t="shared" ref="LI21:LI24" si="430">LH21/31.10348013</f>
        <v>9.7802560590829923E-2</v>
      </c>
      <c r="LJ21" s="29">
        <v>3.2040000000000002</v>
      </c>
      <c r="LK21" s="30">
        <f t="shared" ref="LK21:LK24" si="431">LJ21/31.10348013</f>
        <v>0.10301098097732383</v>
      </c>
      <c r="LL21" s="30">
        <v>2.83</v>
      </c>
      <c r="LM21" s="30">
        <f t="shared" ref="LM21:LM24" si="432">LL21/31.10348013</f>
        <v>9.0986603048010761E-2</v>
      </c>
      <c r="LN21" s="29">
        <v>3.508</v>
      </c>
      <c r="LO21" s="30">
        <f t="shared" ref="LO21:LO24" si="433">LN21/31.10348013</f>
        <v>0.11278480688778153</v>
      </c>
      <c r="LP21" s="29">
        <v>3.476</v>
      </c>
      <c r="LQ21" s="30">
        <f t="shared" ref="LQ21:LQ24" si="434">LP21/31.10348013</f>
        <v>0.11175598310773335</v>
      </c>
      <c r="LR21" s="29">
        <v>3.6629999999999998</v>
      </c>
      <c r="LS21" s="30">
        <f t="shared" ref="LS21:LS24" si="435">LR21/31.10348013</f>
        <v>0.11776817207238989</v>
      </c>
      <c r="LT21" s="29">
        <v>4.0119999999999996</v>
      </c>
      <c r="LU21" s="30">
        <f t="shared" ref="LU21:LU24" si="436">LT21/31.10348013</f>
        <v>0.12898878142354031</v>
      </c>
      <c r="LV21" s="29">
        <v>3.9580000000000002</v>
      </c>
      <c r="LW21" s="30">
        <f t="shared" ref="LW21:LW24" si="437">LV21/31.10348013</f>
        <v>0.12725264129470903</v>
      </c>
      <c r="LX21" s="29">
        <v>3.4489999999999998</v>
      </c>
      <c r="LY21" s="30">
        <f t="shared" ref="LY21:LY24" si="438">LX21/31.10348013</f>
        <v>0.11088791304331769</v>
      </c>
      <c r="LZ21" s="29">
        <v>2.9769999999999999</v>
      </c>
      <c r="MA21" s="30">
        <f t="shared" ref="MA21:MA24" si="439">LZ21/31.10348013</f>
        <v>9.571276228760707E-2</v>
      </c>
      <c r="MB21" s="29">
        <v>3.1179999999999999</v>
      </c>
      <c r="MC21" s="30">
        <f t="shared" ref="MC21:MC24" si="440">MB21/31.10348013</f>
        <v>0.10024601706844435</v>
      </c>
      <c r="MD21" s="29">
        <v>2.8029999999999999</v>
      </c>
      <c r="ME21" s="30">
        <f t="shared" ref="ME21:ME24" si="441">MD21/31.10348013</f>
        <v>9.0118532983595095E-2</v>
      </c>
      <c r="MF21" s="29">
        <v>3.0470000000000002</v>
      </c>
      <c r="MG21" s="30">
        <f t="shared" ref="MG21:MG24" si="442">MF21/31.10348013</f>
        <v>9.7963314306462462E-2</v>
      </c>
      <c r="MH21" s="29">
        <v>3.0960000000000001</v>
      </c>
      <c r="MI21" s="30">
        <f t="shared" ref="MI21:MI24" si="443">MH21/31.10348013</f>
        <v>9.9538700719661241E-2</v>
      </c>
      <c r="MJ21" s="29">
        <v>2.8279999999999998</v>
      </c>
      <c r="MK21" s="30">
        <f t="shared" ref="MK21:MK24" si="444">MJ21/31.10348013</f>
        <v>9.0922301561757735E-2</v>
      </c>
      <c r="ML21" s="29">
        <v>2.911</v>
      </c>
      <c r="MM21" s="30">
        <f t="shared" ref="MM21:MM24" si="445">ML21/31.10348013</f>
        <v>9.3590813241257703E-2</v>
      </c>
      <c r="MN21" s="29">
        <v>2.8660000000000001</v>
      </c>
      <c r="MO21" s="30">
        <f t="shared" ref="MO21:MO24" si="446">MN21/31.10348013</f>
        <v>9.214402980056495E-2</v>
      </c>
      <c r="MP21" s="29">
        <v>3.456</v>
      </c>
      <c r="MQ21" s="30">
        <f t="shared" ref="MQ21:MQ24" si="447">MP21/31.10348013</f>
        <v>0.11111296824520324</v>
      </c>
      <c r="MR21" s="29">
        <v>3.4140000000000001</v>
      </c>
      <c r="MS21" s="30">
        <f t="shared" ref="MS21:MS24" si="448">MR21/31.10348013</f>
        <v>0.10976263703389001</v>
      </c>
      <c r="MT21" s="29">
        <v>3.02</v>
      </c>
      <c r="MU21" s="30">
        <f t="shared" ref="MU21:MU24" si="449">MT21/31.10348013</f>
        <v>9.709524424204681E-2</v>
      </c>
      <c r="MV21" s="29">
        <v>3.202</v>
      </c>
      <c r="MW21" s="30">
        <f t="shared" ref="MW21:MW24" si="450">MV21/31.10348013</f>
        <v>0.10294667949107082</v>
      </c>
      <c r="MX21" s="29">
        <v>2.7069999999999999</v>
      </c>
      <c r="MY21" s="30">
        <f t="shared" ref="MY21:MY24" si="451">MX21/31.10348013</f>
        <v>8.7032061643450565E-2</v>
      </c>
      <c r="MZ21" s="29">
        <v>3.0830000000000002</v>
      </c>
      <c r="NA21" s="30">
        <f t="shared" ref="NA21:NA24" si="452">MZ21/31.10348013</f>
        <v>9.9120741059016665E-2</v>
      </c>
      <c r="NB21" s="29">
        <v>2.8849999999999998</v>
      </c>
      <c r="NC21" s="30">
        <f t="shared" ref="NC21:NC24" si="453">NB21/31.10348013</f>
        <v>9.2754893919968551E-2</v>
      </c>
      <c r="ND21" s="29">
        <v>4.1970000000000001</v>
      </c>
      <c r="NE21" s="30">
        <f t="shared" ref="NE21:NE24" si="454">ND21/31.10348013</f>
        <v>0.13493666890194386</v>
      </c>
      <c r="NF21" s="29">
        <v>3.411</v>
      </c>
      <c r="NG21" s="30">
        <f t="shared" ref="NG21:NG24" si="455">NF21/31.10348013</f>
        <v>0.10966618480451049</v>
      </c>
      <c r="NH21" s="29">
        <v>2.903</v>
      </c>
      <c r="NI21" s="30">
        <f t="shared" ref="NI21:NI24" si="456">NH21/31.10348013</f>
        <v>9.3333607296245666E-2</v>
      </c>
      <c r="NJ21" s="29">
        <v>3.2280000000000002</v>
      </c>
      <c r="NK21" s="30">
        <f t="shared" ref="NK21:NK24" si="457">NJ21/31.10348013</f>
        <v>0.10378259881235997</v>
      </c>
      <c r="NL21" s="29">
        <v>3.0019999999999998</v>
      </c>
      <c r="NM21" s="30">
        <f t="shared" ref="NM21:NM24" si="458">NL21/31.10348013</f>
        <v>9.6516530865769709E-2</v>
      </c>
      <c r="NN21" s="29">
        <v>3.1880000000000002</v>
      </c>
      <c r="NO21" s="30">
        <f t="shared" ref="NO21:NO24" si="459">NN21/31.10348013</f>
        <v>0.10249656908729975</v>
      </c>
      <c r="NP21" s="29">
        <v>3.2130000000000001</v>
      </c>
      <c r="NQ21" s="30">
        <f t="shared" ref="NQ21:NQ24" si="460">NP21/31.10348013</f>
        <v>0.10330033766546239</v>
      </c>
      <c r="NR21" s="29">
        <v>3.254</v>
      </c>
      <c r="NS21" s="30">
        <f t="shared" ref="NS21:NS24" si="461">NR21/31.10348013</f>
        <v>0.10461851813364911</v>
      </c>
      <c r="NT21" s="29">
        <v>3.004</v>
      </c>
      <c r="NU21" s="30">
        <f t="shared" ref="NU21:NU24" si="462">NT21/31.10348013</f>
        <v>9.6580832352022722E-2</v>
      </c>
      <c r="NV21" s="29">
        <v>3.3239999999999998</v>
      </c>
      <c r="NW21" s="30">
        <f t="shared" ref="NW21:NW24" si="463">NV21/31.10348013</f>
        <v>0.10686907015250449</v>
      </c>
      <c r="NX21" s="29">
        <v>3.1259999999999999</v>
      </c>
      <c r="NY21" s="30">
        <f t="shared" ref="NY21:NY24" si="464">NX21/31.10348013</f>
        <v>0.10050322301345639</v>
      </c>
      <c r="NZ21" s="29">
        <v>3.0390000000000001</v>
      </c>
      <c r="OA21" s="30">
        <f t="shared" ref="OA21:OA24" si="465">NZ21/31.10348013</f>
        <v>9.7706108361450425E-2</v>
      </c>
      <c r="OB21" s="29">
        <v>3.0819999999999999</v>
      </c>
      <c r="OC21" s="30">
        <f t="shared" ref="OC21:OC24" si="466">OB21/31.10348013</f>
        <v>9.9088590315890152E-2</v>
      </c>
      <c r="OD21" s="29">
        <v>3.2789999999999999</v>
      </c>
      <c r="OE21" s="30">
        <f t="shared" ref="OE21:OE24" si="467">OD21/31.10348013</f>
        <v>0.10542228671181175</v>
      </c>
      <c r="OF21" s="30">
        <v>2.81</v>
      </c>
      <c r="OG21" s="30">
        <f t="shared" ref="OG21:OG24" si="468">OF21/31.10348013</f>
        <v>9.0343588185480647E-2</v>
      </c>
      <c r="OH21" s="30">
        <v>2.91</v>
      </c>
      <c r="OI21" s="30">
        <f t="shared" ref="OI21:OI24" si="469">OH21/31.10348013</f>
        <v>9.3558662498131204E-2</v>
      </c>
      <c r="OJ21" s="29">
        <v>2.956</v>
      </c>
      <c r="OK21" s="30">
        <f t="shared" ref="OK21:OK24" si="470">OJ21/31.10348013</f>
        <v>9.5037596681950456E-2</v>
      </c>
      <c r="OL21" s="29">
        <v>3.673</v>
      </c>
      <c r="OM21" s="30">
        <f t="shared" ref="OM21:OM24" si="471">OL21/31.10348013</f>
        <v>0.11808967950365494</v>
      </c>
      <c r="ON21" s="29">
        <v>3.548</v>
      </c>
      <c r="OO21" s="30">
        <f t="shared" ref="OO21:OO24" si="472">ON21/31.10348013</f>
        <v>0.11407083661284174</v>
      </c>
      <c r="OP21" s="29">
        <v>2.84</v>
      </c>
      <c r="OQ21" s="30">
        <f t="shared" ref="OQ21:OQ24" si="473">OP21/31.10348013</f>
        <v>9.1308110479275797E-2</v>
      </c>
      <c r="OR21" s="29">
        <v>3.706</v>
      </c>
      <c r="OS21" s="30">
        <f t="shared" ref="OS21:OS24" si="474">OR21/31.10348013</f>
        <v>0.11915065402682963</v>
      </c>
      <c r="OT21" s="29">
        <v>2.88</v>
      </c>
      <c r="OU21" s="30">
        <f t="shared" ref="OU21:OU24" si="475">OT21/31.10348013</f>
        <v>9.2594140204336026E-2</v>
      </c>
      <c r="OV21" s="29">
        <v>2.58</v>
      </c>
      <c r="OW21" s="30">
        <f t="shared" ref="OW21:OW24" si="476">OV21/31.10348013</f>
        <v>8.294891726638437E-2</v>
      </c>
      <c r="OX21" s="29">
        <v>2.984</v>
      </c>
      <c r="OY21" s="30">
        <f t="shared" ref="OY21:OY24" si="477">OX21/31.10348013</f>
        <v>9.5937817489492608E-2</v>
      </c>
      <c r="OZ21" s="29">
        <v>2.867</v>
      </c>
      <c r="PA21" s="30">
        <f t="shared" ref="PA21:PA24" si="478">OZ21/31.10348013</f>
        <v>9.2176180543691463E-2</v>
      </c>
      <c r="PB21" s="29">
        <v>2.8780000000000001</v>
      </c>
      <c r="PC21" s="30">
        <f t="shared" ref="PC21:PC24" si="479">PB21/31.10348013</f>
        <v>9.2529838718083027E-2</v>
      </c>
      <c r="PD21" s="29">
        <v>2.87</v>
      </c>
      <c r="PE21" s="30">
        <f t="shared" ref="PE21:PE24" si="480">PD21/31.10348013</f>
        <v>9.2272632773070976E-2</v>
      </c>
      <c r="PF21" s="29">
        <v>2.7919999999999998</v>
      </c>
      <c r="PG21" s="30">
        <f t="shared" ref="PG21:PG24" si="481">PF21/31.10348013</f>
        <v>8.9764874809203532E-2</v>
      </c>
      <c r="PH21" s="29">
        <v>2.9319999999999999</v>
      </c>
      <c r="PI21" s="30">
        <f t="shared" ref="PI21:PI24" si="482">PH21/31.10348013</f>
        <v>9.4265978846914317E-2</v>
      </c>
      <c r="PJ21" s="29">
        <v>3.0449999999999999</v>
      </c>
      <c r="PK21" s="30">
        <f t="shared" ref="PK21:PK24" si="483">PJ21/31.10348013</f>
        <v>9.789901282020945E-2</v>
      </c>
      <c r="PL21" s="29">
        <v>3.069</v>
      </c>
      <c r="PM21" s="30">
        <f t="shared" ref="PM21:PM24" si="484">PL21/31.10348013</f>
        <v>9.8670630655245575E-2</v>
      </c>
      <c r="PN21" s="29">
        <v>3.323</v>
      </c>
      <c r="PO21" s="30">
        <f t="shared" ref="PO21:PO24" si="485">PN21/31.10348013</f>
        <v>0.10683691940937799</v>
      </c>
      <c r="PP21" s="29">
        <v>3.3490000000000002</v>
      </c>
      <c r="PQ21" s="30">
        <f t="shared" ref="PQ21:PQ24" si="486">PP21/31.10348013</f>
        <v>0.10767283873066714</v>
      </c>
      <c r="PR21" s="29">
        <v>3.2189999999999999</v>
      </c>
      <c r="PS21" s="30">
        <f t="shared" ref="PS21:PS24" si="487">PR21/31.10348013</f>
        <v>0.10349324212422141</v>
      </c>
      <c r="PT21" s="29">
        <v>3.1190000000000002</v>
      </c>
      <c r="PU21" s="30">
        <f t="shared" ref="PU21:PU24" si="488">PT21/31.10348013</f>
        <v>0.10027816781157087</v>
      </c>
      <c r="PV21" s="29">
        <v>3.3039999999999998</v>
      </c>
      <c r="PW21" s="30">
        <f t="shared" ref="PW21:PW24" si="489">PV21/31.10348013</f>
        <v>0.10622605528997439</v>
      </c>
      <c r="PX21" s="29">
        <v>2.633</v>
      </c>
      <c r="PY21" s="30">
        <f t="shared" ref="PY21:PY24" si="490">PX21/31.10348013</f>
        <v>8.465290665208916E-2</v>
      </c>
      <c r="PZ21" s="29">
        <v>2.7160000000000002</v>
      </c>
      <c r="QA21" s="30">
        <f t="shared" ref="QA21:QA24" si="491">PZ21/31.10348013</f>
        <v>8.7321418331589129E-2</v>
      </c>
      <c r="QB21" s="29">
        <v>3.448</v>
      </c>
      <c r="QC21" s="30">
        <f t="shared" ref="QC21:QC24" si="492">QB21/31.10348013</f>
        <v>0.11085576230019119</v>
      </c>
      <c r="QD21" s="29">
        <v>2.5219999999999998</v>
      </c>
      <c r="QE21" s="30">
        <f t="shared" ref="QE21:QE24" si="493">QD21/31.10348013</f>
        <v>8.1084174165047027E-2</v>
      </c>
      <c r="QF21" s="29">
        <v>2.4529999999999998</v>
      </c>
      <c r="QG21" s="30">
        <f t="shared" ref="QG21:QG24" si="494">QF21/31.10348013</f>
        <v>7.8865772889318148E-2</v>
      </c>
      <c r="QH21" s="29">
        <v>2.8010000000000002</v>
      </c>
      <c r="QI21" s="30">
        <f t="shared" ref="QI21:QI24" si="495">QH21/31.10348013</f>
        <v>9.0054231497342097E-2</v>
      </c>
      <c r="QJ21" s="29">
        <v>3.032</v>
      </c>
      <c r="QK21" s="30">
        <f t="shared" ref="QK21:QK24" si="496">QJ21/31.10348013</f>
        <v>9.7481053159564873E-2</v>
      </c>
      <c r="QL21" s="29">
        <v>3.1560000000000001</v>
      </c>
      <c r="QM21" s="30">
        <f t="shared" ref="QM21:QM24" si="497">QL21/31.10348013</f>
        <v>0.10146774530725157</v>
      </c>
      <c r="QN21" s="29">
        <v>3.524</v>
      </c>
      <c r="QO21" s="30">
        <f t="shared" ref="QO21:QO24" si="498">QN21/31.10348013</f>
        <v>0.11329921877780562</v>
      </c>
      <c r="QP21" s="29">
        <v>2.4319999999999999</v>
      </c>
      <c r="QQ21" s="30">
        <f t="shared" ref="QQ21:QQ24" si="499">QP21/31.10348013</f>
        <v>7.8190607283661534E-2</v>
      </c>
      <c r="QR21" s="29">
        <v>2.6320000000000001</v>
      </c>
      <c r="QS21" s="30">
        <f t="shared" ref="QS21:QS24" si="500">QR21/31.10348013</f>
        <v>8.4620755908962661E-2</v>
      </c>
      <c r="QT21" s="29">
        <v>2.722</v>
      </c>
      <c r="QU21" s="30">
        <f t="shared" ref="QU21:QU24" si="501">QT21/31.10348013</f>
        <v>8.7514322790348154E-2</v>
      </c>
      <c r="QV21" s="29">
        <v>2.5779999999999998</v>
      </c>
      <c r="QW21" s="30">
        <f t="shared" ref="QW21:QW24" si="502">QV21/31.10348013</f>
        <v>8.2884615780131343E-2</v>
      </c>
      <c r="QX21" s="29">
        <v>2.5779999999999998</v>
      </c>
      <c r="QY21" s="30">
        <f t="shared" ref="QY21:QY24" si="503">QX21/31.10348013</f>
        <v>8.2884615780131343E-2</v>
      </c>
      <c r="QZ21" s="29">
        <v>2.1960000000000002</v>
      </c>
      <c r="RA21" s="30">
        <f t="shared" ref="RA21:RA24" si="504">QZ21/31.10348013</f>
        <v>7.0603031905806232E-2</v>
      </c>
      <c r="RB21" s="30">
        <v>2.58</v>
      </c>
      <c r="RC21" s="30">
        <f t="shared" ref="RC21:RC24" si="505">RB21/31.10348013</f>
        <v>8.294891726638437E-2</v>
      </c>
      <c r="RD21" s="29">
        <v>2.1629999999999998</v>
      </c>
      <c r="RE21" s="30">
        <f t="shared" ref="RE21:RE24" si="506">RD21/31.10348013</f>
        <v>6.9542057382631528E-2</v>
      </c>
      <c r="RF21" s="29">
        <v>3.149</v>
      </c>
      <c r="RG21" s="30">
        <f t="shared" ref="RG21:RG24" si="507">RF21/31.10348013</f>
        <v>0.10124269010536603</v>
      </c>
      <c r="RH21" s="30">
        <v>2.93</v>
      </c>
      <c r="RI21" s="30">
        <f t="shared" ref="RI21:RI24" si="508">RH21/31.10348013</f>
        <v>9.4201677360661318E-2</v>
      </c>
      <c r="RJ21" s="30">
        <v>3.02</v>
      </c>
      <c r="RK21" s="30">
        <f t="shared" ref="RK21:RK24" si="509">RJ21/31.10348013</f>
        <v>9.709524424204681E-2</v>
      </c>
      <c r="RL21" s="29">
        <v>2.8490000000000002</v>
      </c>
      <c r="RM21" s="30">
        <f t="shared" ref="RM21:RM24" si="510">RL21/31.10348013</f>
        <v>9.1597467167414362E-2</v>
      </c>
      <c r="RN21" s="29">
        <v>3.1890000000000001</v>
      </c>
      <c r="RO21" s="30">
        <f t="shared" ref="RO21:RO24" si="511">RN21/31.10348013</f>
        <v>0.10252871983042626</v>
      </c>
      <c r="RP21" s="29">
        <v>3.6150000000000002</v>
      </c>
      <c r="RQ21" s="30">
        <f t="shared" ref="RQ21:RQ24" si="512">RP21/31.10348013</f>
        <v>0.11622493640231762</v>
      </c>
      <c r="RR21" s="29">
        <v>3.359</v>
      </c>
      <c r="RS21" s="30">
        <f t="shared" ref="RS21:RS24" si="513">RR21/31.10348013</f>
        <v>0.10799434616193219</v>
      </c>
      <c r="RT21" s="29">
        <v>3.8109999999999999</v>
      </c>
      <c r="RU21" s="30">
        <f t="shared" ref="RU21:RU24" si="514">RT21/31.10348013</f>
        <v>0.12252648205511271</v>
      </c>
      <c r="RV21" s="29">
        <v>3.7730000000000001</v>
      </c>
      <c r="RW21" s="30">
        <f t="shared" ref="RW21:RW24" si="515">RV21/31.10348013</f>
        <v>0.12130475381630551</v>
      </c>
      <c r="RX21" s="29">
        <v>4.117</v>
      </c>
      <c r="RY21" s="30">
        <f t="shared" ref="RY21:RY24" si="516">RX21/31.10348013</f>
        <v>0.13236460945182341</v>
      </c>
      <c r="RZ21" s="29">
        <v>3.6840000000000002</v>
      </c>
      <c r="SA21" s="30">
        <f t="shared" ref="SA21:SA24" si="517">RZ21/31.10348013</f>
        <v>0.11844333767804652</v>
      </c>
      <c r="SB21" s="29">
        <v>3.0409999999999999</v>
      </c>
      <c r="SC21" s="30">
        <f t="shared" ref="SC21:SC24" si="518">SB21/31.10348013</f>
        <v>9.7770409847703424E-2</v>
      </c>
      <c r="SD21" s="29">
        <v>3.0219999999999998</v>
      </c>
      <c r="SE21" s="30">
        <f t="shared" ref="SE21:SE24" si="519">SD21/31.10348013</f>
        <v>9.7159545728299809E-2</v>
      </c>
      <c r="SF21" s="29">
        <v>3.5720000000000001</v>
      </c>
      <c r="SG21" s="30">
        <f t="shared" ref="SG21:SG24" si="520">SF21/31.10348013</f>
        <v>0.11484245444787788</v>
      </c>
      <c r="SH21" s="29">
        <v>3.5419999999999998</v>
      </c>
      <c r="SI21" s="30">
        <f t="shared" ref="SI21:SI24" si="521">SH21/31.10348013</f>
        <v>0.11387793215408271</v>
      </c>
      <c r="SJ21" s="29">
        <v>3.13</v>
      </c>
      <c r="SK21" s="30">
        <f t="shared" ref="SK21:SK24" si="522">SJ21/31.10348013</f>
        <v>0.10063182598596242</v>
      </c>
      <c r="SL21" s="29">
        <v>3.274</v>
      </c>
      <c r="SM21" s="30">
        <f t="shared" ref="SM21:SM24" si="523">SL21/31.10348013</f>
        <v>0.10526153299617923</v>
      </c>
      <c r="SN21" s="29">
        <v>3.0129999999999999</v>
      </c>
      <c r="SO21" s="30">
        <f t="shared" ref="SO21:SO24" si="524">SN21/31.10348013</f>
        <v>9.6870189040161273E-2</v>
      </c>
      <c r="SP21" s="29">
        <v>3.2130000000000001</v>
      </c>
      <c r="SQ21" s="30">
        <f t="shared" ref="SQ21:SQ24" si="525">SP21/31.10348013</f>
        <v>0.10330033766546239</v>
      </c>
      <c r="SR21" s="29">
        <v>3.4870000000000001</v>
      </c>
      <c r="SS21" s="30">
        <f t="shared" ref="SS21:SS24" si="526">SR21/31.10348013</f>
        <v>0.11210964128212492</v>
      </c>
      <c r="ST21" s="29">
        <v>3.46</v>
      </c>
      <c r="SU21" s="30">
        <f t="shared" ref="SU21:SU24" si="527">ST21/31.10348013</f>
        <v>0.11124157121770926</v>
      </c>
      <c r="SV21" s="29">
        <v>3.2130000000000001</v>
      </c>
      <c r="SW21" s="30">
        <f t="shared" ref="SW21:SW24" si="528">SV21/31.10348013</f>
        <v>0.10330033766546239</v>
      </c>
      <c r="SX21" s="29">
        <v>3.5529999999999999</v>
      </c>
      <c r="SY21" s="30">
        <f t="shared" ref="SY21:SY24" si="529">SX21/31.10348013</f>
        <v>0.11423159032847427</v>
      </c>
      <c r="SZ21" s="29">
        <v>4.1159999999999997</v>
      </c>
      <c r="TA21" s="30">
        <f t="shared" ref="TA21:TA24" si="530">SZ21/31.10348013</f>
        <v>0.13233245870869689</v>
      </c>
      <c r="TB21" s="29">
        <v>4.0090000000000003</v>
      </c>
      <c r="TC21" s="30">
        <f t="shared" ref="TC21:TC24" si="531">TB21/31.10348013</f>
        <v>0.12889232919416083</v>
      </c>
      <c r="TD21" s="29">
        <v>3.266</v>
      </c>
      <c r="TE21" s="30">
        <f t="shared" ref="TE21:TE24" si="532">TD21/31.10348013</f>
        <v>0.10500432705116718</v>
      </c>
      <c r="TF21" s="29">
        <v>3.3940000000000001</v>
      </c>
      <c r="TG21" s="30">
        <f t="shared" ref="TG21:TG24" si="533">TF21/31.10348013</f>
        <v>0.1091196221713599</v>
      </c>
      <c r="TH21" s="29">
        <v>3.0590000000000002</v>
      </c>
      <c r="TI21" s="30">
        <f t="shared" ref="TI21:TI24" si="534">TH21/31.10348013</f>
        <v>9.8349123223980539E-2</v>
      </c>
      <c r="TJ21" s="29">
        <v>2.9140000000000001</v>
      </c>
      <c r="TK21" s="30">
        <f t="shared" ref="TK21:TK24" si="535">TJ21/31.10348013</f>
        <v>9.3687265470637229E-2</v>
      </c>
      <c r="TL21" s="29">
        <v>3.524</v>
      </c>
      <c r="TM21" s="30">
        <f t="shared" ref="TM21:TM24" si="536">TL21/31.10348013</f>
        <v>0.11329921877780562</v>
      </c>
      <c r="TN21" s="29">
        <v>4.3760000000000003</v>
      </c>
      <c r="TO21" s="30">
        <f t="shared" ref="TO21:TO24" si="537">TN21/31.10348013</f>
        <v>0.14069165192158836</v>
      </c>
      <c r="TP21" s="29">
        <v>3.6190000000000002</v>
      </c>
      <c r="TQ21" s="30">
        <f t="shared" ref="TQ21:TQ24" si="538">TP21/31.10348013</f>
        <v>0.11635353937482365</v>
      </c>
      <c r="TR21" s="29">
        <v>3.8450000000000002</v>
      </c>
      <c r="TS21" s="30">
        <f t="shared" ref="TS21:TS24" si="539">TR21/31.10348013</f>
        <v>0.12361960732141392</v>
      </c>
      <c r="TT21" s="29">
        <v>4.1660000000000004</v>
      </c>
      <c r="TU21" s="1">
        <f t="shared" ref="TU21:TU24" si="540">TT21/31.10348013</f>
        <v>0.1339399958650222</v>
      </c>
      <c r="TV21" s="29"/>
      <c r="TW21" s="30">
        <f t="shared" ref="TW21:TW24" si="541">TV21/31.10348013</f>
        <v>0</v>
      </c>
      <c r="TX21" s="29"/>
      <c r="TY21" s="30">
        <f t="shared" ref="TY21:TY24" si="542">TX21/31.10348013</f>
        <v>0</v>
      </c>
      <c r="TZ21" s="29"/>
      <c r="UA21" s="1">
        <f t="shared" ref="UA21:UA24" si="543">TZ21/31.10348013</f>
        <v>0</v>
      </c>
      <c r="UB21" s="29"/>
      <c r="UC21" s="30">
        <f t="shared" ref="UC21:UC24" si="544">UB21/31.10348013</f>
        <v>0</v>
      </c>
      <c r="UD21" s="29"/>
      <c r="UE21" s="30">
        <f t="shared" ref="UE21:UE24" si="545">UD21/31.10348013</f>
        <v>0</v>
      </c>
      <c r="UF21" s="29"/>
      <c r="UG21" s="1">
        <f t="shared" ref="UG21:UG24" si="546">UF21/31.10348013</f>
        <v>0</v>
      </c>
      <c r="UH21" s="29"/>
      <c r="UI21" s="30">
        <f t="shared" ref="UI21:UI24" si="547">UH21/31.10348013</f>
        <v>0</v>
      </c>
      <c r="UJ21" s="29"/>
      <c r="UK21" s="30">
        <f t="shared" ref="UK21:UK24" si="548">UJ21/31.10348013</f>
        <v>0</v>
      </c>
      <c r="UL21" s="29"/>
      <c r="UM21" s="1">
        <f t="shared" ref="UM21:UM24" si="549">UL21/31.10348013</f>
        <v>0</v>
      </c>
      <c r="UN21" s="29"/>
      <c r="UO21" s="30">
        <f t="shared" ref="UO21:UO24" si="550">UN21/31.10348013</f>
        <v>0</v>
      </c>
      <c r="UP21" s="29"/>
      <c r="UQ21" s="30">
        <f t="shared" ref="UQ21:UQ24" si="551">UP21/31.10348013</f>
        <v>0</v>
      </c>
      <c r="UR21" s="29"/>
      <c r="US21" s="1">
        <f t="shared" ref="US21:US24" si="552">UR21/31.10348013</f>
        <v>0</v>
      </c>
      <c r="UT21" s="29"/>
      <c r="UU21" s="30">
        <f t="shared" ref="UU21:UU24" si="553">UT21/31.10348013</f>
        <v>0</v>
      </c>
      <c r="UV21" s="29"/>
      <c r="UW21" s="30">
        <f t="shared" ref="UW21:UW24" si="554">UV21/31.10348013</f>
        <v>0</v>
      </c>
      <c r="UX21" s="29"/>
      <c r="UY21" s="1">
        <f t="shared" ref="UY21:UY24" si="555">UX21/31.10348013</f>
        <v>0</v>
      </c>
    </row>
    <row r="22" spans="2:587" x14ac:dyDescent="0.2">
      <c r="B22" s="44"/>
      <c r="C22" s="23" t="s">
        <v>8</v>
      </c>
      <c r="D22" s="17">
        <v>2.2719999999999998</v>
      </c>
      <c r="E22" s="18">
        <v>7.2999999999999995E-2</v>
      </c>
      <c r="F22" s="17">
        <v>2.3079999999999998</v>
      </c>
      <c r="G22" s="17">
        <v>7.3999999999999996E-2</v>
      </c>
      <c r="H22" s="17">
        <v>2.2719999999999998</v>
      </c>
      <c r="I22" s="18">
        <f t="shared" si="377"/>
        <v>7.3046488383420635E-2</v>
      </c>
      <c r="J22" s="17">
        <v>2.3660000000000001</v>
      </c>
      <c r="K22" s="18">
        <f t="shared" si="377"/>
        <v>7.6068658237312167E-2</v>
      </c>
      <c r="L22" s="17">
        <v>2.5150000000000001</v>
      </c>
      <c r="M22" s="18">
        <f>L22/31.10348013</f>
        <v>8.0859118963161503E-2</v>
      </c>
      <c r="N22" s="17">
        <v>2.3460000000000001</v>
      </c>
      <c r="O22" s="18">
        <f>N22/31.10348013</f>
        <v>7.5425643374782067E-2</v>
      </c>
      <c r="P22" s="17">
        <v>2.262</v>
      </c>
      <c r="Q22" s="18">
        <f>P22/31.10348013</f>
        <v>7.2724980952155585E-2</v>
      </c>
      <c r="R22" s="17">
        <v>2.254</v>
      </c>
      <c r="S22" s="18">
        <f>R22/31.10348013</f>
        <v>7.2467775007143548E-2</v>
      </c>
      <c r="T22" s="17">
        <v>2.1789999999999998</v>
      </c>
      <c r="U22" s="18">
        <f>T22/31.10348013</f>
        <v>7.005646927265563E-2</v>
      </c>
      <c r="V22" s="17">
        <v>2.496</v>
      </c>
      <c r="W22" s="18">
        <f>V22/31.10348013</f>
        <v>8.0248254843757888E-2</v>
      </c>
      <c r="X22" s="17">
        <v>2.415</v>
      </c>
      <c r="Y22" s="18">
        <f>X22/31.10348013</f>
        <v>7.7644044650510946E-2</v>
      </c>
      <c r="Z22" s="17">
        <v>2.589</v>
      </c>
      <c r="AA22" s="18">
        <f>Z22/31.10348013</f>
        <v>8.3238273954522907E-2</v>
      </c>
      <c r="AB22" s="17">
        <v>2.3690000000000002</v>
      </c>
      <c r="AC22" s="18">
        <f>AB22/31.10348013</f>
        <v>7.6165110466691693E-2</v>
      </c>
      <c r="AD22" s="17">
        <v>2.278</v>
      </c>
      <c r="AE22" s="18">
        <f>AD22/31.10348013</f>
        <v>7.3239392842179687E-2</v>
      </c>
      <c r="AF22" s="17">
        <v>2.194</v>
      </c>
      <c r="AG22" s="18">
        <f>AF22/31.10348013</f>
        <v>7.0538730419553206E-2</v>
      </c>
      <c r="AH22" s="17">
        <v>2.851</v>
      </c>
      <c r="AI22" s="18">
        <f t="shared" si="378"/>
        <v>9.1661768653667375E-2</v>
      </c>
      <c r="AJ22" s="17">
        <v>2.9460000000000002</v>
      </c>
      <c r="AK22" s="18">
        <f t="shared" si="378"/>
        <v>9.4716089250685406E-2</v>
      </c>
      <c r="AL22" s="17">
        <v>2.7</v>
      </c>
      <c r="AM22" s="18">
        <f>AL22/31.10348013</f>
        <v>8.6807006441565041E-2</v>
      </c>
      <c r="AN22" s="17">
        <v>2.7130000000000001</v>
      </c>
      <c r="AO22" s="18">
        <f>AN22/31.10348013</f>
        <v>8.7224966102209603E-2</v>
      </c>
      <c r="AP22" s="17">
        <v>2.718</v>
      </c>
      <c r="AQ22" s="18">
        <f>AP22/31.10348013</f>
        <v>8.7385719817842128E-2</v>
      </c>
      <c r="AR22" s="17">
        <v>2.1080000000000001</v>
      </c>
      <c r="AS22" s="18">
        <f>AR22/31.10348013</f>
        <v>6.7773766510673739E-2</v>
      </c>
      <c r="AT22" s="18">
        <v>2.0619999999999998</v>
      </c>
      <c r="AU22" s="18">
        <f>AT22/31.10348013</f>
        <v>6.6294832326854472E-2</v>
      </c>
      <c r="AV22" s="18">
        <v>2.113</v>
      </c>
      <c r="AW22" s="18">
        <f>AV22/31.10348013</f>
        <v>6.7934520226306264E-2</v>
      </c>
      <c r="AX22" s="18">
        <v>2.08</v>
      </c>
      <c r="AY22" s="18">
        <f>AX22/31.10348013</f>
        <v>6.6873545703131587E-2</v>
      </c>
      <c r="AZ22" s="18">
        <v>2.1120000000000001</v>
      </c>
      <c r="BA22" s="18">
        <f>AZ22/31.10348013</f>
        <v>6.7902369483179764E-2</v>
      </c>
      <c r="BB22" s="17">
        <v>1.9990000000000001</v>
      </c>
      <c r="BC22" s="18">
        <f>BB22/31.10348013</f>
        <v>6.4269335509884631E-2</v>
      </c>
      <c r="BD22" s="17">
        <v>2.3460000000000001</v>
      </c>
      <c r="BE22" s="18">
        <f>BD22/31.10348013</f>
        <v>7.5425643374782067E-2</v>
      </c>
      <c r="BF22" s="18">
        <v>2.2440000000000002</v>
      </c>
      <c r="BG22" s="18">
        <f>BF22/31.10348013</f>
        <v>7.2146267575878498E-2</v>
      </c>
      <c r="BH22" s="17">
        <v>2.0529999999999999</v>
      </c>
      <c r="BI22" s="18">
        <f>BH22/31.10348013</f>
        <v>6.6005475638715921E-2</v>
      </c>
      <c r="BJ22" s="17">
        <v>2.1909999999999998</v>
      </c>
      <c r="BK22" s="18">
        <f>BJ22/31.10348013</f>
        <v>7.0442278190173693E-2</v>
      </c>
      <c r="BL22" s="17">
        <v>2.1909999999999998</v>
      </c>
      <c r="BM22" s="18">
        <f>BL22/31.10348013</f>
        <v>7.0442278190173693E-2</v>
      </c>
      <c r="BN22" s="17">
        <v>2.0219999999999998</v>
      </c>
      <c r="BO22" s="18">
        <f>BN22/31.10348013</f>
        <v>6.5008802601794244E-2</v>
      </c>
      <c r="BP22" s="17">
        <v>2.2400000000000002</v>
      </c>
      <c r="BQ22" s="18">
        <f>BP22/31.10348013</f>
        <v>7.2017664603372472E-2</v>
      </c>
      <c r="BR22" s="17">
        <v>2.08</v>
      </c>
      <c r="BS22" s="18">
        <f>BR22/31.10348013</f>
        <v>6.6873545703131587E-2</v>
      </c>
      <c r="BT22" s="17">
        <v>2.004</v>
      </c>
      <c r="BU22" s="18">
        <f t="shared" si="379"/>
        <v>6.4430089225517156E-2</v>
      </c>
      <c r="BV22" s="17">
        <v>2.238</v>
      </c>
      <c r="BW22" s="18">
        <f t="shared" si="379"/>
        <v>7.1953363117119459E-2</v>
      </c>
      <c r="BX22" s="17">
        <v>2.0760000000000001</v>
      </c>
      <c r="BY22" s="18">
        <f>BX22/31.10348013</f>
        <v>6.6744942730625562E-2</v>
      </c>
      <c r="BZ22" s="17">
        <v>2.0550000000000002</v>
      </c>
      <c r="CA22" s="18">
        <f>BZ22/31.10348013</f>
        <v>6.6069777124968948E-2</v>
      </c>
      <c r="CB22" s="17">
        <v>2.0310000000000001</v>
      </c>
      <c r="CC22" s="18">
        <f>CB22/31.10348013</f>
        <v>6.5298159289932808E-2</v>
      </c>
      <c r="CD22" s="17">
        <v>2.0750000000000002</v>
      </c>
      <c r="CE22" s="18">
        <f>CD22/31.10348013</f>
        <v>6.6712791987499062E-2</v>
      </c>
      <c r="CF22" s="17">
        <v>2.0089999999999999</v>
      </c>
      <c r="CG22" s="18">
        <f>CF22/31.10348013</f>
        <v>6.4590842941149681E-2</v>
      </c>
      <c r="CH22" s="17">
        <v>1.956</v>
      </c>
      <c r="CI22" s="18">
        <f>CH22/31.10348013</f>
        <v>6.2886853555444891E-2</v>
      </c>
      <c r="CJ22" s="17">
        <v>2.0489999999999999</v>
      </c>
      <c r="CK22" s="18">
        <f>CJ22/31.10348013</f>
        <v>6.587687266620991E-2</v>
      </c>
      <c r="CL22" s="17">
        <v>2.3330000000000002</v>
      </c>
      <c r="CM22" s="18">
        <f>CL22/31.10348013</f>
        <v>7.5007683714137491E-2</v>
      </c>
      <c r="CN22" s="17">
        <v>2.1579999999999999</v>
      </c>
      <c r="CO22" s="18">
        <f>CN22/31.10348013</f>
        <v>6.9381303666999003E-2</v>
      </c>
      <c r="CP22" s="17">
        <v>2.0840000000000001</v>
      </c>
      <c r="CQ22" s="18">
        <f>CP22/31.10348013</f>
        <v>6.7002148675637599E-2</v>
      </c>
      <c r="CR22" s="17">
        <v>2.0329999999999999</v>
      </c>
      <c r="CS22" s="18">
        <f>CR22/31.10348013</f>
        <v>6.5362460776185807E-2</v>
      </c>
      <c r="CT22" s="17">
        <v>2.052</v>
      </c>
      <c r="CU22" s="18">
        <f>CT22/31.10348013</f>
        <v>6.5973324895589422E-2</v>
      </c>
      <c r="CV22" s="17"/>
      <c r="CW22" s="17"/>
      <c r="CX22" s="17"/>
      <c r="CY22" s="17"/>
      <c r="CZ22" s="17"/>
      <c r="DA22" s="17"/>
      <c r="DB22" s="17"/>
      <c r="DC22" s="17"/>
      <c r="DD22" s="17"/>
      <c r="DE22" s="17"/>
      <c r="DF22" s="17"/>
      <c r="DG22" s="17"/>
      <c r="DH22" s="17"/>
      <c r="DI22" s="17"/>
      <c r="DJ22" s="17"/>
      <c r="DK22" s="17"/>
      <c r="DL22" s="17"/>
      <c r="DM22" s="17"/>
      <c r="DN22" s="17"/>
      <c r="DO22" s="17"/>
      <c r="DP22" s="17"/>
      <c r="DQ22" s="17"/>
      <c r="DR22" s="17"/>
      <c r="DS22" s="17"/>
      <c r="DT22" s="17"/>
      <c r="DU22" s="17"/>
      <c r="DV22" s="17">
        <v>1.9159999999999999</v>
      </c>
      <c r="DW22" s="18">
        <f>DV22/31.10348013</f>
        <v>6.1600823830384663E-2</v>
      </c>
      <c r="DX22" s="17">
        <v>1.903</v>
      </c>
      <c r="DY22" s="18">
        <f>DX22/31.10348013</f>
        <v>6.1182864169740094E-2</v>
      </c>
      <c r="DZ22" s="17">
        <v>1.8109999999999999</v>
      </c>
      <c r="EA22" s="18">
        <f>DZ22/31.10348013</f>
        <v>5.8224995802101581E-2</v>
      </c>
      <c r="EB22" s="17">
        <v>1.986</v>
      </c>
      <c r="EC22" s="18">
        <f>EB22/31.10348013</f>
        <v>6.3851375849240055E-2</v>
      </c>
      <c r="ED22" s="17">
        <v>1.9930000000000001</v>
      </c>
      <c r="EE22" s="18">
        <f>ED22/31.10348013</f>
        <v>6.4076431051125593E-2</v>
      </c>
      <c r="EF22" s="17">
        <v>2.218</v>
      </c>
      <c r="EG22" s="18">
        <f>EF22/31.10348013</f>
        <v>7.1310348254589345E-2</v>
      </c>
      <c r="EH22" s="17">
        <v>2.258</v>
      </c>
      <c r="EI22" s="18">
        <f>EH22/31.10348013</f>
        <v>7.2596377979649573E-2</v>
      </c>
      <c r="EJ22" s="17">
        <v>2.2589999999999999</v>
      </c>
      <c r="EK22" s="18">
        <f>EJ22/31.10348013</f>
        <v>7.2628528722776073E-2</v>
      </c>
      <c r="EL22" s="17">
        <v>2.073</v>
      </c>
      <c r="EM22" s="18">
        <f>EL22/31.10348013</f>
        <v>6.6648490501246035E-2</v>
      </c>
      <c r="EN22" s="17">
        <v>2.1019999999999999</v>
      </c>
      <c r="EO22" s="18">
        <f>EN22/31.10348013</f>
        <v>6.75808620519147E-2</v>
      </c>
      <c r="EP22" s="17">
        <v>2.0059999999999998</v>
      </c>
      <c r="EQ22" s="18">
        <f>EP22/31.10348013</f>
        <v>6.4494390711770155E-2</v>
      </c>
      <c r="ER22" s="17">
        <v>2.0049999999999999</v>
      </c>
      <c r="ES22" s="18">
        <f>ER22/31.10348013</f>
        <v>6.4462239968643656E-2</v>
      </c>
      <c r="ET22" s="17">
        <v>2.0019999999999998</v>
      </c>
      <c r="EU22" s="18">
        <f>ET22/31.10348013</f>
        <v>6.4365787739264144E-2</v>
      </c>
      <c r="EV22" s="17">
        <v>2.3919999999999999</v>
      </c>
      <c r="EW22" s="18">
        <f>EV22/31.10348013</f>
        <v>7.6904577558601306E-2</v>
      </c>
      <c r="EX22" s="17">
        <v>2.206</v>
      </c>
      <c r="EY22" s="18">
        <f>EX22/31.10348013</f>
        <v>7.0924539337071282E-2</v>
      </c>
      <c r="EZ22" s="17">
        <v>2.2400000000000002</v>
      </c>
      <c r="FA22" s="18">
        <f>EZ22/31.10348013</f>
        <v>7.2017664603372472E-2</v>
      </c>
      <c r="FB22" s="17">
        <v>2.4319999999999999</v>
      </c>
      <c r="FC22" s="18">
        <f>FB22/31.10348013</f>
        <v>7.8190607283661534E-2</v>
      </c>
      <c r="FD22" s="17">
        <v>2.0139999999999998</v>
      </c>
      <c r="FE22" s="18">
        <f>FD22/31.10348013</f>
        <v>6.4751596656782207E-2</v>
      </c>
      <c r="FF22" s="17">
        <v>2.11</v>
      </c>
      <c r="FG22" s="18">
        <f>FF22/31.10348013</f>
        <v>6.7838067996926738E-2</v>
      </c>
      <c r="FH22" s="17">
        <v>2.0139999999999998</v>
      </c>
      <c r="FI22" s="18">
        <f>FH22/31.10348013</f>
        <v>6.4751596656782207E-2</v>
      </c>
      <c r="FJ22" s="17">
        <v>2.5760000000000001</v>
      </c>
      <c r="FK22" s="18">
        <f>FJ22/31.10348013</f>
        <v>8.2820314293878344E-2</v>
      </c>
      <c r="FL22" s="17">
        <v>2.78</v>
      </c>
      <c r="FM22" s="18">
        <f>FL22/31.10348013</f>
        <v>8.9379065891685469E-2</v>
      </c>
      <c r="FN22" s="17">
        <v>2.5840000000000001</v>
      </c>
      <c r="FO22" s="18">
        <f>FN22/31.10348013</f>
        <v>8.3077520238890382E-2</v>
      </c>
      <c r="FP22" s="17">
        <v>2.1269999999999998</v>
      </c>
      <c r="FQ22" s="18">
        <f>FP22/31.10348013</f>
        <v>6.8384630630077339E-2</v>
      </c>
      <c r="FR22" s="17">
        <v>2.278</v>
      </c>
      <c r="FS22" s="18">
        <f>FR22/31.10348013</f>
        <v>7.3239392842179687E-2</v>
      </c>
      <c r="FT22" s="17">
        <v>2.202</v>
      </c>
      <c r="FU22" s="18">
        <f>FT22/31.10348013</f>
        <v>7.0795936364565257E-2</v>
      </c>
      <c r="FV22" s="17">
        <v>2.1360000000000001</v>
      </c>
      <c r="FW22" s="18">
        <f>FV22/31.10348013</f>
        <v>6.867398731821589E-2</v>
      </c>
      <c r="FX22" s="17">
        <v>2.266</v>
      </c>
      <c r="FY22" s="18">
        <f>FX22/31.10348013</f>
        <v>7.2853583924661611E-2</v>
      </c>
      <c r="FZ22" s="17">
        <v>2.415</v>
      </c>
      <c r="GA22" s="18">
        <f>FZ22/31.10348013</f>
        <v>7.7644044650510946E-2</v>
      </c>
      <c r="GB22" s="17">
        <v>2.1579999999999999</v>
      </c>
      <c r="GC22" s="18">
        <f>GB22/31.10348013</f>
        <v>6.9381303666999003E-2</v>
      </c>
      <c r="GD22" s="17">
        <v>2.4689999999999999</v>
      </c>
      <c r="GE22" s="18">
        <f>GD22/31.10348013</f>
        <v>7.9380184779342236E-2</v>
      </c>
      <c r="GF22" s="17">
        <v>2.2149999999999999</v>
      </c>
      <c r="GG22" s="18">
        <f>GF22/31.10348013</f>
        <v>7.1213896025209819E-2</v>
      </c>
      <c r="GH22" s="17">
        <v>2.2290000000000001</v>
      </c>
      <c r="GI22" s="18">
        <f>GH22/31.10348013</f>
        <v>7.1664006428980909E-2</v>
      </c>
      <c r="GJ22" s="17">
        <v>2.2879999999999998</v>
      </c>
      <c r="GK22" s="18">
        <f>GJ22/31.10348013</f>
        <v>7.3560900273444724E-2</v>
      </c>
      <c r="GL22" s="17">
        <v>2.2189999999999999</v>
      </c>
      <c r="GM22" s="18">
        <f>GL22/31.10348013</f>
        <v>7.1342498997715845E-2</v>
      </c>
      <c r="GN22" s="17">
        <v>2.0840000000000001</v>
      </c>
      <c r="GO22" s="18">
        <f>GN22/31.10348013</f>
        <v>6.7002148675637599E-2</v>
      </c>
      <c r="GP22" s="17">
        <v>1.9930000000000001</v>
      </c>
      <c r="GQ22" s="18">
        <f>GP22/31.10348013</f>
        <v>6.4076431051125593E-2</v>
      </c>
      <c r="GR22" s="17">
        <v>2.0840000000000001</v>
      </c>
      <c r="GS22" s="18">
        <f>GR22/31.10348013</f>
        <v>6.7002148675637599E-2</v>
      </c>
      <c r="GT22" s="17">
        <v>1.9139999999999999</v>
      </c>
      <c r="GU22" s="18">
        <f>GT22/31.10348013</f>
        <v>6.153652234413165E-2</v>
      </c>
      <c r="GV22" s="17">
        <v>2.0699999999999998</v>
      </c>
      <c r="GW22" s="18">
        <f>GV22/31.10348013</f>
        <v>6.6552038271866523E-2</v>
      </c>
      <c r="GX22" s="17">
        <v>2.4129999999999998</v>
      </c>
      <c r="GY22" s="18">
        <f>GX22/31.10348013</f>
        <v>7.7579743164257919E-2</v>
      </c>
      <c r="GZ22" s="17">
        <v>2.4239999999999999</v>
      </c>
      <c r="HA22" s="18">
        <f>GZ22/31.10348013</f>
        <v>7.7933401338649497E-2</v>
      </c>
      <c r="HB22" s="17">
        <v>2.2810000000000001</v>
      </c>
      <c r="HC22" s="18">
        <f>HB22/31.10348013</f>
        <v>7.33358450715592E-2</v>
      </c>
      <c r="HD22" s="17">
        <v>2.9790000000000001</v>
      </c>
      <c r="HE22" s="18">
        <f>HD22/31.10348013</f>
        <v>9.5777063773860083E-2</v>
      </c>
      <c r="HF22" s="17">
        <v>2.84</v>
      </c>
      <c r="HG22" s="18">
        <f>HF22/31.10348013</f>
        <v>9.1308110479275797E-2</v>
      </c>
      <c r="HH22" s="17">
        <v>2.1480000000000001</v>
      </c>
      <c r="HI22" s="18">
        <f>HH22/31.10348013</f>
        <v>6.9059796235733967E-2</v>
      </c>
      <c r="HJ22" s="17">
        <v>2.0219999999999998</v>
      </c>
      <c r="HK22" s="18">
        <f>HJ22/31.10348013</f>
        <v>6.5008802601794244E-2</v>
      </c>
      <c r="HL22" s="17">
        <v>2.1389999999999998</v>
      </c>
      <c r="HM22" s="18">
        <f t="shared" si="380"/>
        <v>6.8770439547595402E-2</v>
      </c>
      <c r="HN22" s="17">
        <v>2.2610000000000001</v>
      </c>
      <c r="HO22" s="18">
        <f t="shared" si="381"/>
        <v>7.2692830209029086E-2</v>
      </c>
      <c r="HP22" s="17">
        <v>2.3330000000000002</v>
      </c>
      <c r="HQ22" s="18">
        <f t="shared" si="382"/>
        <v>7.5007683714137491E-2</v>
      </c>
      <c r="HR22" s="17">
        <v>2.0110000000000001</v>
      </c>
      <c r="HS22" s="18">
        <f t="shared" si="383"/>
        <v>6.4655144427402694E-2</v>
      </c>
      <c r="HT22" s="17">
        <v>2.0070000000000001</v>
      </c>
      <c r="HU22" s="18">
        <f t="shared" si="384"/>
        <v>6.4526541454896669E-2</v>
      </c>
      <c r="HV22" s="17">
        <v>2.0019999999999998</v>
      </c>
      <c r="HW22" s="18">
        <f t="shared" si="385"/>
        <v>6.4365787739264144E-2</v>
      </c>
      <c r="HX22" s="17">
        <v>2.0630000000000002</v>
      </c>
      <c r="HY22" s="18">
        <f t="shared" si="386"/>
        <v>6.6326983069980985E-2</v>
      </c>
      <c r="HZ22" s="17">
        <v>2.028</v>
      </c>
      <c r="IA22" s="18">
        <f t="shared" si="387"/>
        <v>6.5201707060553296E-2</v>
      </c>
      <c r="IB22" s="17">
        <v>2.0750000000000002</v>
      </c>
      <c r="IC22" s="18">
        <f t="shared" si="388"/>
        <v>6.6712791987499062E-2</v>
      </c>
      <c r="ID22" s="17">
        <v>2.0369999999999999</v>
      </c>
      <c r="IE22" s="18">
        <f t="shared" si="389"/>
        <v>6.5491063748691833E-2</v>
      </c>
      <c r="IF22" s="17">
        <v>2.0310000000000001</v>
      </c>
      <c r="IG22" s="18">
        <f t="shared" si="390"/>
        <v>6.5298159289932808E-2</v>
      </c>
      <c r="IH22" s="17">
        <v>2.0289999999999999</v>
      </c>
      <c r="II22" s="18">
        <f t="shared" si="391"/>
        <v>6.5233857803679796E-2</v>
      </c>
      <c r="IJ22" s="17">
        <v>2.0329999999999999</v>
      </c>
      <c r="IK22" s="18">
        <f t="shared" si="392"/>
        <v>6.5362460776185807E-2</v>
      </c>
      <c r="IL22" s="17">
        <v>2.0049999999999999</v>
      </c>
      <c r="IM22" s="18">
        <f t="shared" si="393"/>
        <v>6.4462239968643656E-2</v>
      </c>
      <c r="IN22" s="17">
        <v>2.0609999999999999</v>
      </c>
      <c r="IO22" s="18">
        <f t="shared" si="394"/>
        <v>6.6262681583727973E-2</v>
      </c>
      <c r="IP22" s="17">
        <v>2.0049999999999999</v>
      </c>
      <c r="IQ22" s="18">
        <f t="shared" si="395"/>
        <v>6.4462239968643656E-2</v>
      </c>
      <c r="IR22" s="17">
        <v>2.0059999999999998</v>
      </c>
      <c r="IS22" s="18">
        <f t="shared" si="396"/>
        <v>6.4494390711770155E-2</v>
      </c>
      <c r="IT22" s="17">
        <v>2.0219999999999998</v>
      </c>
      <c r="IU22" s="18">
        <f t="shared" si="397"/>
        <v>6.5008802601794244E-2</v>
      </c>
      <c r="IV22" s="17">
        <v>1.982</v>
      </c>
      <c r="IW22" s="18">
        <f t="shared" si="398"/>
        <v>6.372277287673403E-2</v>
      </c>
      <c r="IX22" s="17">
        <v>2.6059999999999999</v>
      </c>
      <c r="IY22" s="18">
        <f t="shared" si="399"/>
        <v>8.3784836587673509E-2</v>
      </c>
      <c r="IZ22" s="17">
        <v>2.2610000000000001</v>
      </c>
      <c r="JA22" s="18">
        <f t="shared" si="400"/>
        <v>7.2692830209029086E-2</v>
      </c>
      <c r="JB22" s="17">
        <v>2.1749999999999998</v>
      </c>
      <c r="JC22" s="18">
        <f t="shared" si="401"/>
        <v>6.9927866300149605E-2</v>
      </c>
      <c r="JD22" s="17">
        <v>2.3849999999999998</v>
      </c>
      <c r="JE22" s="18">
        <f t="shared" si="402"/>
        <v>7.6679522356715768E-2</v>
      </c>
      <c r="JF22" s="17">
        <v>2.1659999999999999</v>
      </c>
      <c r="JG22" s="18">
        <f t="shared" si="403"/>
        <v>6.9638509612011054E-2</v>
      </c>
      <c r="JH22" s="17">
        <v>2.0550000000000002</v>
      </c>
      <c r="JI22" s="18">
        <f t="shared" si="404"/>
        <v>6.6069777124968948E-2</v>
      </c>
      <c r="JJ22" s="17">
        <v>2.11</v>
      </c>
      <c r="JK22" s="18">
        <f t="shared" si="405"/>
        <v>6.7838067996926738E-2</v>
      </c>
      <c r="JL22" s="17">
        <v>2.1709999999999998</v>
      </c>
      <c r="JM22" s="18">
        <f t="shared" si="406"/>
        <v>6.9799263327643579E-2</v>
      </c>
      <c r="JN22" s="17">
        <v>2.1459999999999999</v>
      </c>
      <c r="JO22" s="18">
        <f t="shared" si="407"/>
        <v>6.899549474948094E-2</v>
      </c>
      <c r="JP22" s="17">
        <v>2.0059999999999998</v>
      </c>
      <c r="JQ22" s="18">
        <f t="shared" si="408"/>
        <v>6.4494390711770155E-2</v>
      </c>
      <c r="JR22" s="17">
        <v>2.0830000000000002</v>
      </c>
      <c r="JS22" s="18">
        <f t="shared" si="409"/>
        <v>6.6969997932511099E-2</v>
      </c>
      <c r="JT22" s="17">
        <v>2.58</v>
      </c>
      <c r="JU22" s="18">
        <f t="shared" si="410"/>
        <v>8.294891726638437E-2</v>
      </c>
      <c r="JV22" s="17">
        <v>2.629</v>
      </c>
      <c r="JW22" s="18">
        <f t="shared" si="411"/>
        <v>8.4524303679583135E-2</v>
      </c>
      <c r="JX22" s="17">
        <v>2.6859999999999999</v>
      </c>
      <c r="JY22" s="18">
        <f t="shared" si="412"/>
        <v>8.6356896037793951E-2</v>
      </c>
      <c r="JZ22" s="17">
        <v>2.52</v>
      </c>
      <c r="KA22" s="18">
        <f t="shared" si="413"/>
        <v>8.1019872678794028E-2</v>
      </c>
      <c r="KB22" s="17">
        <v>2.1989999999999998</v>
      </c>
      <c r="KC22" s="18">
        <f t="shared" si="414"/>
        <v>7.0699484135185731E-2</v>
      </c>
      <c r="KD22" s="17">
        <v>2.0790000000000002</v>
      </c>
      <c r="KE22" s="18">
        <f t="shared" si="415"/>
        <v>6.6841394960005074E-2</v>
      </c>
      <c r="KF22" s="17">
        <v>2.0990000000000002</v>
      </c>
      <c r="KG22" s="18">
        <f t="shared" si="416"/>
        <v>6.7484409822535188E-2</v>
      </c>
      <c r="KH22" s="17">
        <v>2.258</v>
      </c>
      <c r="KI22" s="18">
        <f t="shared" si="417"/>
        <v>7.2596377979649573E-2</v>
      </c>
      <c r="KJ22" s="17">
        <v>2.1789999999999998</v>
      </c>
      <c r="KK22" s="18">
        <f t="shared" si="418"/>
        <v>7.005646927265563E-2</v>
      </c>
      <c r="KL22" s="17">
        <v>2.1150000000000002</v>
      </c>
      <c r="KM22" s="18">
        <f t="shared" si="419"/>
        <v>6.7998821712559276E-2</v>
      </c>
      <c r="KN22" s="17">
        <v>2.198</v>
      </c>
      <c r="KO22" s="18">
        <f t="shared" si="420"/>
        <v>7.0667333392059231E-2</v>
      </c>
      <c r="KP22" s="17">
        <v>2.2770000000000001</v>
      </c>
      <c r="KQ22" s="18">
        <f t="shared" si="421"/>
        <v>7.3207242099053174E-2</v>
      </c>
      <c r="KR22" s="17">
        <v>2.363</v>
      </c>
      <c r="KS22" s="18">
        <f t="shared" si="422"/>
        <v>7.5972206007932655E-2</v>
      </c>
      <c r="KT22" s="17">
        <v>2.7450000000000001</v>
      </c>
      <c r="KU22" s="18">
        <f t="shared" si="423"/>
        <v>8.825378988225778E-2</v>
      </c>
      <c r="KV22" s="17">
        <v>2.5089999999999999</v>
      </c>
      <c r="KW22" s="18">
        <f t="shared" si="424"/>
        <v>8.0666214504402464E-2</v>
      </c>
      <c r="KX22" s="17">
        <v>2.1230000000000002</v>
      </c>
      <c r="KY22" s="18">
        <f t="shared" si="425"/>
        <v>6.8256027657571328E-2</v>
      </c>
      <c r="KZ22" s="17">
        <v>2.2120000000000002</v>
      </c>
      <c r="LA22" s="18">
        <f t="shared" si="426"/>
        <v>7.1117443795830321E-2</v>
      </c>
      <c r="LB22" s="17">
        <v>2.0619999999999998</v>
      </c>
      <c r="LC22" s="18">
        <f t="shared" si="427"/>
        <v>6.6294832326854472E-2</v>
      </c>
      <c r="LD22" s="17">
        <v>2.0289999999999999</v>
      </c>
      <c r="LE22" s="18">
        <f t="shared" si="428"/>
        <v>6.5233857803679796E-2</v>
      </c>
      <c r="LF22" s="17">
        <v>2.0680000000000001</v>
      </c>
      <c r="LG22" s="18">
        <f t="shared" si="429"/>
        <v>6.648773678561351E-2</v>
      </c>
      <c r="LH22" s="17">
        <v>2.222</v>
      </c>
      <c r="LI22" s="18">
        <f t="shared" si="430"/>
        <v>7.1438951227095371E-2</v>
      </c>
      <c r="LJ22" s="17">
        <v>2.1120000000000001</v>
      </c>
      <c r="LK22" s="18">
        <f t="shared" si="431"/>
        <v>6.7902369483179764E-2</v>
      </c>
      <c r="LL22" s="17">
        <v>2.0139999999999998</v>
      </c>
      <c r="LM22" s="18">
        <f t="shared" si="432"/>
        <v>6.4751596656782207E-2</v>
      </c>
      <c r="LN22" s="17">
        <v>2.2330000000000001</v>
      </c>
      <c r="LO22" s="18">
        <f t="shared" si="433"/>
        <v>7.1792609401486934E-2</v>
      </c>
      <c r="LP22" s="17">
        <v>2.512</v>
      </c>
      <c r="LQ22" s="18">
        <f t="shared" si="434"/>
        <v>8.0762666733781976E-2</v>
      </c>
      <c r="LR22" s="17">
        <v>2.5139999999999998</v>
      </c>
      <c r="LS22" s="18">
        <f t="shared" si="435"/>
        <v>8.0826968220034989E-2</v>
      </c>
      <c r="LT22" s="17">
        <v>2.7930000000000001</v>
      </c>
      <c r="LU22" s="18">
        <f t="shared" si="436"/>
        <v>8.9797025552330045E-2</v>
      </c>
      <c r="LV22" s="17">
        <v>2.5310000000000001</v>
      </c>
      <c r="LW22" s="18">
        <f t="shared" si="437"/>
        <v>8.1373530853185591E-2</v>
      </c>
      <c r="LX22" s="17">
        <v>2.3780000000000001</v>
      </c>
      <c r="LY22" s="18">
        <f t="shared" si="438"/>
        <v>7.6454467154830244E-2</v>
      </c>
      <c r="LZ22" s="17">
        <v>2.008</v>
      </c>
      <c r="MA22" s="18">
        <f t="shared" si="439"/>
        <v>6.4558692198023182E-2</v>
      </c>
      <c r="MB22" s="17">
        <v>2.0190000000000001</v>
      </c>
      <c r="MC22" s="18">
        <f t="shared" si="440"/>
        <v>6.4912350372414745E-2</v>
      </c>
      <c r="MD22" s="17">
        <v>1.988</v>
      </c>
      <c r="ME22" s="18">
        <f t="shared" si="441"/>
        <v>6.3915677335493068E-2</v>
      </c>
      <c r="MF22" s="17">
        <v>2.032</v>
      </c>
      <c r="MG22" s="18">
        <f t="shared" si="442"/>
        <v>6.5330310033059308E-2</v>
      </c>
      <c r="MH22" s="17">
        <v>2.0750000000000002</v>
      </c>
      <c r="MI22" s="18">
        <f t="shared" si="443"/>
        <v>6.6712791987499062E-2</v>
      </c>
      <c r="MJ22" s="17">
        <v>1.966</v>
      </c>
      <c r="MK22" s="18">
        <f t="shared" si="444"/>
        <v>6.3208360986709941E-2</v>
      </c>
      <c r="ML22" s="17">
        <v>1.9610000000000001</v>
      </c>
      <c r="MM22" s="18">
        <f t="shared" si="445"/>
        <v>6.3047607271077416E-2</v>
      </c>
      <c r="MN22" s="17">
        <v>2.0779999999999998</v>
      </c>
      <c r="MO22" s="18">
        <f t="shared" si="446"/>
        <v>6.6809244216878561E-2</v>
      </c>
      <c r="MP22" s="17">
        <v>2.3370000000000002</v>
      </c>
      <c r="MQ22" s="18">
        <f t="shared" si="447"/>
        <v>7.5136286686643516E-2</v>
      </c>
      <c r="MR22" s="17">
        <v>2.5990000000000002</v>
      </c>
      <c r="MS22" s="18">
        <f t="shared" si="448"/>
        <v>8.3559781385787971E-2</v>
      </c>
      <c r="MT22" s="17">
        <v>2.3759999999999999</v>
      </c>
      <c r="MU22" s="18">
        <f t="shared" si="449"/>
        <v>7.6390165668577217E-2</v>
      </c>
      <c r="MV22" s="17">
        <v>2.1720000000000002</v>
      </c>
      <c r="MW22" s="18">
        <f t="shared" si="450"/>
        <v>6.9831414070770093E-2</v>
      </c>
      <c r="MX22" s="17">
        <v>2.0059999999999998</v>
      </c>
      <c r="MY22" s="18">
        <f t="shared" si="451"/>
        <v>6.4494390711770155E-2</v>
      </c>
      <c r="MZ22" s="17">
        <v>2.1030000000000002</v>
      </c>
      <c r="NA22" s="18">
        <f t="shared" si="452"/>
        <v>6.7613012795041214E-2</v>
      </c>
      <c r="NB22" s="17">
        <v>2.101</v>
      </c>
      <c r="NC22" s="18">
        <f t="shared" si="453"/>
        <v>6.7548711308788201E-2</v>
      </c>
      <c r="ND22" s="17">
        <v>2.323</v>
      </c>
      <c r="NE22" s="18">
        <f t="shared" si="454"/>
        <v>7.4686176282872427E-2</v>
      </c>
      <c r="NF22" s="17">
        <v>2.226</v>
      </c>
      <c r="NG22" s="18">
        <f t="shared" si="455"/>
        <v>7.1567554199601396E-2</v>
      </c>
      <c r="NH22" s="17">
        <v>2.0910000000000002</v>
      </c>
      <c r="NI22" s="18">
        <f t="shared" si="456"/>
        <v>6.7227203877523151E-2</v>
      </c>
      <c r="NJ22" s="17">
        <v>2.1459999999999999</v>
      </c>
      <c r="NK22" s="18">
        <f t="shared" si="457"/>
        <v>6.899549474948094E-2</v>
      </c>
      <c r="NL22" s="17">
        <v>2.0590000000000002</v>
      </c>
      <c r="NM22" s="18">
        <f t="shared" si="458"/>
        <v>6.619838009747496E-2</v>
      </c>
      <c r="NN22" s="17">
        <v>2.2160000000000002</v>
      </c>
      <c r="NO22" s="18">
        <f t="shared" si="459"/>
        <v>7.1246046768336346E-2</v>
      </c>
      <c r="NP22" s="17">
        <v>2.1539999999999999</v>
      </c>
      <c r="NQ22" s="18">
        <f t="shared" si="460"/>
        <v>6.9252700694492991E-2</v>
      </c>
      <c r="NR22" s="17">
        <v>2.0779999999999998</v>
      </c>
      <c r="NS22" s="18">
        <f t="shared" si="461"/>
        <v>6.6809244216878561E-2</v>
      </c>
      <c r="NT22" s="17">
        <v>2.0499999999999998</v>
      </c>
      <c r="NU22" s="18">
        <f t="shared" si="462"/>
        <v>6.5909023409336409E-2</v>
      </c>
      <c r="NV22" s="17">
        <v>2.286</v>
      </c>
      <c r="NW22" s="18">
        <f t="shared" si="463"/>
        <v>7.3496598787191725E-2</v>
      </c>
      <c r="NX22" s="17">
        <v>2.0979999999999999</v>
      </c>
      <c r="NY22" s="18">
        <f t="shared" si="464"/>
        <v>6.7452259079408675E-2</v>
      </c>
      <c r="NZ22" s="18">
        <v>2.12</v>
      </c>
      <c r="OA22" s="18">
        <f t="shared" si="465"/>
        <v>6.8159575428191801E-2</v>
      </c>
      <c r="OB22" s="17">
        <v>2.012</v>
      </c>
      <c r="OC22" s="18">
        <f t="shared" si="466"/>
        <v>6.4687295170529194E-2</v>
      </c>
      <c r="OD22" s="17">
        <v>2.1230000000000002</v>
      </c>
      <c r="OE22" s="18">
        <f t="shared" si="467"/>
        <v>6.8256027657571328E-2</v>
      </c>
      <c r="OF22" s="17">
        <v>2.0910000000000002</v>
      </c>
      <c r="OG22" s="18">
        <f t="shared" si="468"/>
        <v>6.7227203877523151E-2</v>
      </c>
      <c r="OH22" s="17">
        <v>2.032</v>
      </c>
      <c r="OI22" s="18">
        <f t="shared" si="469"/>
        <v>6.5330310033059308E-2</v>
      </c>
      <c r="OJ22" s="17">
        <v>2.1139999999999999</v>
      </c>
      <c r="OK22" s="18">
        <f t="shared" si="470"/>
        <v>6.7966670969432763E-2</v>
      </c>
      <c r="OL22" s="18">
        <v>2.36</v>
      </c>
      <c r="OM22" s="18">
        <f t="shared" si="471"/>
        <v>7.5875753778553129E-2</v>
      </c>
      <c r="ON22" s="17">
        <v>2.4769999999999999</v>
      </c>
      <c r="OO22" s="18">
        <f t="shared" si="472"/>
        <v>7.9637390724354287E-2</v>
      </c>
      <c r="OP22" s="17">
        <v>2.2799999999999998</v>
      </c>
      <c r="OQ22" s="18">
        <f t="shared" si="473"/>
        <v>7.3303694328432686E-2</v>
      </c>
      <c r="OR22" s="17">
        <v>2.597</v>
      </c>
      <c r="OS22" s="18">
        <f t="shared" si="474"/>
        <v>8.3495479899534958E-2</v>
      </c>
      <c r="OT22" s="17">
        <v>2.2010000000000001</v>
      </c>
      <c r="OU22" s="18">
        <f t="shared" si="475"/>
        <v>7.0763785621438757E-2</v>
      </c>
      <c r="OV22" s="17">
        <v>2.0739999999999998</v>
      </c>
      <c r="OW22" s="18">
        <f t="shared" si="476"/>
        <v>6.6680641244372535E-2</v>
      </c>
      <c r="OX22" s="17">
        <v>2.1949999999999998</v>
      </c>
      <c r="OY22" s="18">
        <f t="shared" si="477"/>
        <v>7.0570881162679719E-2</v>
      </c>
      <c r="OZ22" s="17">
        <v>2.371</v>
      </c>
      <c r="PA22" s="18">
        <f t="shared" si="478"/>
        <v>7.6229411952944692E-2</v>
      </c>
      <c r="PB22" s="17">
        <v>2.1309999999999998</v>
      </c>
      <c r="PC22" s="18">
        <f t="shared" si="479"/>
        <v>6.8513233602583351E-2</v>
      </c>
      <c r="PD22" s="17">
        <v>2.0449999999999999</v>
      </c>
      <c r="PE22" s="18">
        <f t="shared" si="480"/>
        <v>6.5748269693703884E-2</v>
      </c>
      <c r="PF22" s="17">
        <v>2.0350000000000001</v>
      </c>
      <c r="PG22" s="18">
        <f t="shared" si="481"/>
        <v>6.5426762262438834E-2</v>
      </c>
      <c r="PH22" s="17">
        <v>2.1930000000000001</v>
      </c>
      <c r="PI22" s="18">
        <f t="shared" si="482"/>
        <v>7.0506579676426706E-2</v>
      </c>
      <c r="PJ22" s="17">
        <v>2.1059999999999999</v>
      </c>
      <c r="PK22" s="18">
        <f t="shared" si="483"/>
        <v>6.7709465024420712E-2</v>
      </c>
      <c r="PL22" s="17">
        <v>2.1920000000000002</v>
      </c>
      <c r="PM22" s="18">
        <f t="shared" si="484"/>
        <v>7.0474428933300207E-2</v>
      </c>
      <c r="PN22" s="17">
        <v>2.3140000000000001</v>
      </c>
      <c r="PO22" s="18">
        <f t="shared" si="485"/>
        <v>7.4396819594733876E-2</v>
      </c>
      <c r="PP22" s="17">
        <v>2.282</v>
      </c>
      <c r="PQ22" s="18">
        <f t="shared" si="486"/>
        <v>7.3367995814685699E-2</v>
      </c>
      <c r="PR22" s="17">
        <v>2.085</v>
      </c>
      <c r="PS22" s="18">
        <f t="shared" si="487"/>
        <v>6.7034299418764098E-2</v>
      </c>
      <c r="PT22" s="17">
        <v>2.137</v>
      </c>
      <c r="PU22" s="18">
        <f t="shared" si="488"/>
        <v>6.8706138061342389E-2</v>
      </c>
      <c r="PV22" s="17">
        <v>2.113</v>
      </c>
      <c r="PW22" s="18">
        <f t="shared" si="489"/>
        <v>6.7934520226306264E-2</v>
      </c>
      <c r="PX22" s="17">
        <v>1.974</v>
      </c>
      <c r="PY22" s="18">
        <f t="shared" si="490"/>
        <v>6.3465566931721992E-2</v>
      </c>
      <c r="PZ22" s="17">
        <v>2.0720000000000001</v>
      </c>
      <c r="QA22" s="18">
        <f t="shared" si="491"/>
        <v>6.6616339758119536E-2</v>
      </c>
      <c r="QB22" s="17">
        <v>1.9810000000000001</v>
      </c>
      <c r="QC22" s="18">
        <f t="shared" si="492"/>
        <v>6.369062213360753E-2</v>
      </c>
      <c r="QD22" s="17">
        <v>1.762</v>
      </c>
      <c r="QE22" s="18">
        <f t="shared" si="493"/>
        <v>5.6649609388902809E-2</v>
      </c>
      <c r="QF22" s="17">
        <v>1.7170000000000001</v>
      </c>
      <c r="QG22" s="18">
        <f t="shared" si="494"/>
        <v>5.5202825948210063E-2</v>
      </c>
      <c r="QH22" s="17">
        <v>2.0150000000000001</v>
      </c>
      <c r="QI22" s="18">
        <f t="shared" si="495"/>
        <v>6.478374739990872E-2</v>
      </c>
      <c r="QJ22" s="17">
        <v>2.0150000000000001</v>
      </c>
      <c r="QK22" s="18">
        <f t="shared" si="496"/>
        <v>6.478374739990872E-2</v>
      </c>
      <c r="QL22" s="17">
        <v>2.1960000000000002</v>
      </c>
      <c r="QM22" s="18">
        <f t="shared" si="497"/>
        <v>7.0603031905806232E-2</v>
      </c>
      <c r="QN22" s="17">
        <v>2.0710000000000002</v>
      </c>
      <c r="QO22" s="18">
        <f t="shared" si="498"/>
        <v>6.6584189014993037E-2</v>
      </c>
      <c r="QP22" s="17">
        <v>1.659</v>
      </c>
      <c r="QQ22" s="18">
        <f t="shared" si="499"/>
        <v>5.3338082846872734E-2</v>
      </c>
      <c r="QR22" s="17">
        <v>1.6359999999999999</v>
      </c>
      <c r="QS22" s="18">
        <f t="shared" si="500"/>
        <v>5.25986157549631E-2</v>
      </c>
      <c r="QT22" s="17">
        <v>1.7789999999999999</v>
      </c>
      <c r="QU22" s="18">
        <f t="shared" si="501"/>
        <v>5.7196172022053397E-2</v>
      </c>
      <c r="QV22" s="17">
        <v>1.673</v>
      </c>
      <c r="QW22" s="18">
        <f t="shared" si="502"/>
        <v>5.3788193250643816E-2</v>
      </c>
      <c r="QX22" s="17">
        <v>1.94</v>
      </c>
      <c r="QY22" s="18">
        <f t="shared" si="503"/>
        <v>6.2372441665420796E-2</v>
      </c>
      <c r="QZ22" s="17">
        <v>1.591</v>
      </c>
      <c r="RA22" s="18">
        <f t="shared" si="504"/>
        <v>5.1151832314270354E-2</v>
      </c>
      <c r="RB22" s="17">
        <v>1.7410000000000001</v>
      </c>
      <c r="RC22" s="18">
        <f t="shared" si="505"/>
        <v>5.5974443783246196E-2</v>
      </c>
      <c r="RD22" s="17">
        <v>1.5389999999999999</v>
      </c>
      <c r="RE22" s="18">
        <f t="shared" si="506"/>
        <v>4.9479993671692063E-2</v>
      </c>
      <c r="RF22" s="17">
        <v>1.7490000000000001</v>
      </c>
      <c r="RG22" s="18">
        <f t="shared" si="507"/>
        <v>5.623164972825824E-2</v>
      </c>
      <c r="RH22" s="18">
        <v>2.09</v>
      </c>
      <c r="RI22" s="18">
        <f t="shared" si="508"/>
        <v>6.7195053134396623E-2</v>
      </c>
      <c r="RJ22" s="18">
        <v>2.056</v>
      </c>
      <c r="RK22" s="18">
        <f t="shared" si="509"/>
        <v>6.6101927868095448E-2</v>
      </c>
      <c r="RL22" s="17">
        <v>2.073</v>
      </c>
      <c r="RM22" s="18">
        <f t="shared" si="510"/>
        <v>6.6648490501246035E-2</v>
      </c>
      <c r="RN22" s="17">
        <v>1.9710000000000001</v>
      </c>
      <c r="RO22" s="18">
        <f t="shared" si="511"/>
        <v>6.336911470234248E-2</v>
      </c>
      <c r="RP22" s="17">
        <v>2.3769999999999998</v>
      </c>
      <c r="RQ22" s="18">
        <f t="shared" si="512"/>
        <v>7.6422316411703731E-2</v>
      </c>
      <c r="RR22" s="18">
        <v>2.0499999999999998</v>
      </c>
      <c r="RS22" s="18">
        <f t="shared" si="513"/>
        <v>6.5909023409336409E-2</v>
      </c>
      <c r="RT22" s="17">
        <v>2.7850000000000001</v>
      </c>
      <c r="RU22" s="18">
        <f t="shared" si="514"/>
        <v>8.9539819607318008E-2</v>
      </c>
      <c r="RV22" s="17">
        <v>2.2120000000000002</v>
      </c>
      <c r="RW22" s="18">
        <f t="shared" si="515"/>
        <v>7.1117443795830321E-2</v>
      </c>
      <c r="RX22" s="17">
        <v>2.9620000000000002</v>
      </c>
      <c r="RY22" s="18">
        <f t="shared" si="516"/>
        <v>9.5230501140709495E-2</v>
      </c>
      <c r="RZ22" s="17">
        <v>2.4620000000000002</v>
      </c>
      <c r="SA22" s="18">
        <f t="shared" si="517"/>
        <v>7.9155129577456712E-2</v>
      </c>
      <c r="SB22" s="17">
        <v>2.0630000000000002</v>
      </c>
      <c r="SC22" s="18">
        <f t="shared" si="518"/>
        <v>6.6326983069980985E-2</v>
      </c>
      <c r="SD22" s="17">
        <v>2.0630000000000002</v>
      </c>
      <c r="SE22" s="18">
        <f t="shared" si="519"/>
        <v>6.6326983069980985E-2</v>
      </c>
      <c r="SF22" s="17">
        <v>2.5299999999999998</v>
      </c>
      <c r="SG22" s="18">
        <f t="shared" si="520"/>
        <v>8.1341380110059078E-2</v>
      </c>
      <c r="SH22" s="17">
        <v>2.234</v>
      </c>
      <c r="SI22" s="18">
        <f t="shared" si="521"/>
        <v>7.1824760144613434E-2</v>
      </c>
      <c r="SJ22" s="17">
        <v>2.012</v>
      </c>
      <c r="SK22" s="18">
        <f t="shared" si="522"/>
        <v>6.4687295170529194E-2</v>
      </c>
      <c r="SL22" s="17">
        <v>2.2909999999999999</v>
      </c>
      <c r="SM22" s="18">
        <f t="shared" si="523"/>
        <v>7.365735250282425E-2</v>
      </c>
      <c r="SN22" s="17">
        <v>1.9419999999999999</v>
      </c>
      <c r="SO22" s="18">
        <f t="shared" si="524"/>
        <v>6.2436743151673808E-2</v>
      </c>
      <c r="SP22" s="17">
        <v>1.835</v>
      </c>
      <c r="SQ22" s="18">
        <f t="shared" si="525"/>
        <v>5.8996613637137714E-2</v>
      </c>
      <c r="SR22" s="17">
        <v>1.9419999999999999</v>
      </c>
      <c r="SS22" s="18">
        <f t="shared" si="526"/>
        <v>6.2436743151673808E-2</v>
      </c>
      <c r="ST22" s="17">
        <v>1.9430000000000001</v>
      </c>
      <c r="SU22" s="18">
        <f t="shared" si="527"/>
        <v>6.2468893894800315E-2</v>
      </c>
      <c r="SV22" s="17">
        <v>1.8680000000000001</v>
      </c>
      <c r="SW22" s="18">
        <f t="shared" si="528"/>
        <v>6.0057588160312404E-2</v>
      </c>
      <c r="SX22" s="17">
        <v>2.3319999999999999</v>
      </c>
      <c r="SY22" s="18">
        <f t="shared" si="529"/>
        <v>7.4975532971010977E-2</v>
      </c>
      <c r="SZ22" s="17">
        <v>2.4350000000000001</v>
      </c>
      <c r="TA22" s="18">
        <f t="shared" si="530"/>
        <v>7.828705951304106E-2</v>
      </c>
      <c r="TB22" s="17">
        <v>2.3420000000000001</v>
      </c>
      <c r="TC22" s="18">
        <f t="shared" si="531"/>
        <v>7.5297040402276041E-2</v>
      </c>
      <c r="TD22" s="17">
        <v>1.9530000000000001</v>
      </c>
      <c r="TE22" s="18">
        <f t="shared" si="532"/>
        <v>6.2790401326065379E-2</v>
      </c>
      <c r="TF22" s="17">
        <v>2.0979999999999999</v>
      </c>
      <c r="TG22" s="18">
        <f t="shared" si="533"/>
        <v>6.7452259079408675E-2</v>
      </c>
      <c r="TH22" s="17">
        <v>1.9610000000000001</v>
      </c>
      <c r="TI22" s="18">
        <f t="shared" si="534"/>
        <v>6.3047607271077416E-2</v>
      </c>
      <c r="TJ22" s="17">
        <v>1.9510000000000001</v>
      </c>
      <c r="TK22" s="18">
        <f t="shared" si="535"/>
        <v>6.2726099839812366E-2</v>
      </c>
      <c r="TL22" s="17">
        <v>2.323</v>
      </c>
      <c r="TM22" s="18">
        <f t="shared" si="536"/>
        <v>7.4686176282872427E-2</v>
      </c>
      <c r="TN22" s="17">
        <v>2.6720000000000002</v>
      </c>
      <c r="TO22" s="18">
        <f t="shared" si="537"/>
        <v>8.5906785634022875E-2</v>
      </c>
      <c r="TP22" s="17">
        <v>2.4940000000000002</v>
      </c>
      <c r="TQ22" s="18">
        <f t="shared" si="538"/>
        <v>8.0183953357504889E-2</v>
      </c>
      <c r="TR22" s="17">
        <v>2.653</v>
      </c>
      <c r="TS22" s="18">
        <f t="shared" si="539"/>
        <v>8.5295921514619275E-2</v>
      </c>
      <c r="TT22" s="17">
        <v>2.4830000000000001</v>
      </c>
      <c r="TU22" s="2">
        <f t="shared" si="540"/>
        <v>7.9830295183113326E-2</v>
      </c>
      <c r="TV22" s="17"/>
      <c r="TW22" s="18">
        <f t="shared" si="541"/>
        <v>0</v>
      </c>
      <c r="TX22" s="17"/>
      <c r="TY22" s="18">
        <f t="shared" si="542"/>
        <v>0</v>
      </c>
      <c r="TZ22" s="17"/>
      <c r="UA22" s="2">
        <f t="shared" si="543"/>
        <v>0</v>
      </c>
      <c r="UB22" s="17"/>
      <c r="UC22" s="18">
        <f t="shared" si="544"/>
        <v>0</v>
      </c>
      <c r="UD22" s="17"/>
      <c r="UE22" s="18">
        <f t="shared" si="545"/>
        <v>0</v>
      </c>
      <c r="UF22" s="17"/>
      <c r="UG22" s="2">
        <f t="shared" si="546"/>
        <v>0</v>
      </c>
      <c r="UH22" s="17"/>
      <c r="UI22" s="18">
        <f t="shared" si="547"/>
        <v>0</v>
      </c>
      <c r="UJ22" s="17"/>
      <c r="UK22" s="18">
        <f t="shared" si="548"/>
        <v>0</v>
      </c>
      <c r="UL22" s="17"/>
      <c r="UM22" s="2">
        <f t="shared" si="549"/>
        <v>0</v>
      </c>
      <c r="UN22" s="17"/>
      <c r="UO22" s="18">
        <f t="shared" si="550"/>
        <v>0</v>
      </c>
      <c r="UP22" s="17"/>
      <c r="UQ22" s="18">
        <f t="shared" si="551"/>
        <v>0</v>
      </c>
      <c r="UR22" s="17"/>
      <c r="US22" s="2">
        <f t="shared" si="552"/>
        <v>0</v>
      </c>
      <c r="UT22" s="17"/>
      <c r="UU22" s="18">
        <f t="shared" si="553"/>
        <v>0</v>
      </c>
      <c r="UV22" s="17"/>
      <c r="UW22" s="18">
        <f t="shared" si="554"/>
        <v>0</v>
      </c>
      <c r="UX22" s="17"/>
      <c r="UY22" s="2">
        <f t="shared" si="555"/>
        <v>0</v>
      </c>
    </row>
    <row r="23" spans="2:587" x14ac:dyDescent="0.2">
      <c r="B23" s="44"/>
      <c r="C23" s="23" t="s">
        <v>9</v>
      </c>
      <c r="D23" s="17">
        <v>110.78</v>
      </c>
      <c r="E23" s="17">
        <v>3.5619999999999998</v>
      </c>
      <c r="F23" s="17">
        <v>133.99100000000001</v>
      </c>
      <c r="G23" s="17">
        <v>4.3079999999999998</v>
      </c>
      <c r="H23" s="17">
        <v>126.203</v>
      </c>
      <c r="I23" s="18">
        <f t="shared" si="377"/>
        <v>4.0575202347943824</v>
      </c>
      <c r="J23" s="17">
        <v>159.346</v>
      </c>
      <c r="K23" s="18">
        <f t="shared" si="377"/>
        <v>5.123092314236156</v>
      </c>
      <c r="L23" s="17">
        <v>99.22</v>
      </c>
      <c r="M23" s="18">
        <f>L23/31.10348013</f>
        <v>3.1899967330118821</v>
      </c>
      <c r="N23" s="17">
        <v>111.78</v>
      </c>
      <c r="O23" s="18">
        <f>N23/31.10348013</f>
        <v>3.5938100666807924</v>
      </c>
      <c r="P23" s="17">
        <v>134.124</v>
      </c>
      <c r="Q23" s="18">
        <f>P23/31.10348013</f>
        <v>4.3121862710994323</v>
      </c>
      <c r="R23" s="17">
        <v>155.363</v>
      </c>
      <c r="S23" s="18">
        <f>R23/31.10348013</f>
        <v>4.9950359043632844</v>
      </c>
      <c r="T23" s="17">
        <v>144.77500000000001</v>
      </c>
      <c r="U23" s="18">
        <f>T23/31.10348013</f>
        <v>4.6546238361398435</v>
      </c>
      <c r="V23" s="17">
        <v>135.126</v>
      </c>
      <c r="W23" s="18">
        <f>V23/31.10348013</f>
        <v>4.344401315712191</v>
      </c>
      <c r="X23" s="17">
        <v>118.289</v>
      </c>
      <c r="Y23" s="18">
        <f>X23/31.10348013</f>
        <v>3.8030792536912168</v>
      </c>
      <c r="Z23" s="17">
        <v>167.24600000000001</v>
      </c>
      <c r="AA23" s="18">
        <f>Z23/31.10348013</f>
        <v>5.3770831849355503</v>
      </c>
      <c r="AB23" s="17">
        <v>119.235</v>
      </c>
      <c r="AC23" s="18">
        <f>AB23/31.10348013</f>
        <v>3.8334938566888912</v>
      </c>
      <c r="AD23" s="17">
        <v>87.778999999999996</v>
      </c>
      <c r="AE23" s="18">
        <f>AD23/31.10348013</f>
        <v>2.8221600809015319</v>
      </c>
      <c r="AF23" s="17">
        <v>129.279</v>
      </c>
      <c r="AG23" s="18">
        <f>AF23/31.10348013</f>
        <v>4.1564159206515132</v>
      </c>
      <c r="AH23" s="17">
        <v>131.09899999999999</v>
      </c>
      <c r="AI23" s="18">
        <f>AH23/31.10348013</f>
        <v>4.2149302731417526</v>
      </c>
      <c r="AJ23" s="17">
        <v>138.32</v>
      </c>
      <c r="AK23" s="18">
        <f>AJ23/31.10348013</f>
        <v>4.4470907892582501</v>
      </c>
      <c r="AL23" s="17">
        <v>110.42400000000001</v>
      </c>
      <c r="AM23" s="18">
        <f>AL23/31.10348013</f>
        <v>3.5502136590012507</v>
      </c>
      <c r="AN23" s="17">
        <v>134.84</v>
      </c>
      <c r="AO23" s="18">
        <f>AN23/31.10348013</f>
        <v>4.3352062031780108</v>
      </c>
      <c r="AP23" s="17">
        <v>95.254999999999995</v>
      </c>
      <c r="AQ23" s="18">
        <f>AP23/31.10348013</f>
        <v>3.0625190365152877</v>
      </c>
      <c r="AR23" s="17">
        <v>91.858999999999995</v>
      </c>
      <c r="AS23" s="18">
        <f>AR23/31.10348013</f>
        <v>2.9533351128576748</v>
      </c>
      <c r="AT23" s="18">
        <v>129.81299999999999</v>
      </c>
      <c r="AU23" s="18">
        <f>AT23/31.10348013</f>
        <v>4.1735844174810666</v>
      </c>
      <c r="AV23" s="18">
        <v>104.932</v>
      </c>
      <c r="AW23" s="18">
        <f>AV23/31.10348013</f>
        <v>3.3736417777504824</v>
      </c>
      <c r="AX23" s="18">
        <v>131.88200000000001</v>
      </c>
      <c r="AY23" s="18">
        <f>AX23/31.10348013</f>
        <v>4.2401043050098073</v>
      </c>
      <c r="AZ23" s="18">
        <v>124.70099999999999</v>
      </c>
      <c r="BA23" s="18">
        <f>AZ23/31.10348013</f>
        <v>4.0092298186183708</v>
      </c>
      <c r="BB23" s="17">
        <v>137.66999999999999</v>
      </c>
      <c r="BC23" s="18">
        <f>BB23/31.10348013</f>
        <v>4.4261928062260205</v>
      </c>
      <c r="BD23" s="17">
        <v>126.76</v>
      </c>
      <c r="BE23" s="18">
        <f>BD23/31.10348013</f>
        <v>4.0754281987158461</v>
      </c>
      <c r="BF23" s="18">
        <v>115.649</v>
      </c>
      <c r="BG23" s="18">
        <f>BF23/31.10348013</f>
        <v>3.7182012918372425</v>
      </c>
      <c r="BH23" s="17">
        <v>137.53</v>
      </c>
      <c r="BI23" s="18">
        <f>BH23/31.10348013</f>
        <v>4.4216917021883102</v>
      </c>
      <c r="BJ23" s="17">
        <v>97.578000000000003</v>
      </c>
      <c r="BK23" s="18">
        <f>BJ23/31.10348013</f>
        <v>3.1372052127981602</v>
      </c>
      <c r="BL23" s="17">
        <v>110.07899999999999</v>
      </c>
      <c r="BM23" s="18">
        <f>BL23/31.10348013</f>
        <v>3.5391216526226059</v>
      </c>
      <c r="BN23" s="17">
        <v>95.744</v>
      </c>
      <c r="BO23" s="18">
        <f>BN23/31.10348013</f>
        <v>3.0782407499041491</v>
      </c>
      <c r="BP23" s="17">
        <v>119.2</v>
      </c>
      <c r="BQ23" s="18">
        <f>BP23/31.10348013</f>
        <v>3.8323685806794634</v>
      </c>
      <c r="BR23" s="17">
        <v>121.19199999999999</v>
      </c>
      <c r="BS23" s="18">
        <f>BR23/31.10348013</f>
        <v>3.8964128609874624</v>
      </c>
      <c r="BT23" s="17">
        <v>97.221999999999994</v>
      </c>
      <c r="BU23" s="18">
        <f>BT23/31.10348013</f>
        <v>3.1257595482451239</v>
      </c>
      <c r="BV23" s="17">
        <v>113.76900000000001</v>
      </c>
      <c r="BW23" s="18">
        <f>BV23/31.10348013</f>
        <v>3.657757894759412</v>
      </c>
      <c r="BX23" s="17">
        <v>128.012</v>
      </c>
      <c r="BY23" s="18">
        <f>BX23/31.10348013</f>
        <v>4.1156809291102308</v>
      </c>
      <c r="BZ23" s="17">
        <v>141.34</v>
      </c>
      <c r="CA23" s="18">
        <f>BZ23/31.10348013</f>
        <v>4.5441860335002966</v>
      </c>
      <c r="CB23" s="17">
        <v>97.251999999999995</v>
      </c>
      <c r="CC23" s="18">
        <f>CB23/31.10348013</f>
        <v>3.126724070538919</v>
      </c>
      <c r="CD23" s="17">
        <v>96.503</v>
      </c>
      <c r="CE23" s="18">
        <f>CD23/31.10348013</f>
        <v>3.1026431639371665</v>
      </c>
      <c r="CF23" s="17">
        <v>116.809</v>
      </c>
      <c r="CG23" s="18">
        <f>CF23/31.10348013</f>
        <v>3.7554961538639886</v>
      </c>
      <c r="CH23" s="17">
        <v>92.218999999999994</v>
      </c>
      <c r="CI23" s="18">
        <f>CH23/31.10348013</f>
        <v>2.9649093803832165</v>
      </c>
      <c r="CJ23" s="17">
        <v>113.869</v>
      </c>
      <c r="CK23" s="18">
        <f>CJ23/31.10348013</f>
        <v>3.6609729690720623</v>
      </c>
      <c r="CL23" s="17">
        <v>134.39599999999999</v>
      </c>
      <c r="CM23" s="18">
        <f>CL23/31.10348013</f>
        <v>4.3209312732298413</v>
      </c>
      <c r="CN23" s="17">
        <v>100.901</v>
      </c>
      <c r="CO23" s="18">
        <f>CN23/31.10348013</f>
        <v>3.2440421322075381</v>
      </c>
      <c r="CP23" s="17">
        <v>101.134</v>
      </c>
      <c r="CQ23" s="18">
        <f>CP23/31.10348013</f>
        <v>3.2515332553560139</v>
      </c>
      <c r="CR23" s="17">
        <v>109.82599999999999</v>
      </c>
      <c r="CS23" s="18">
        <f>CR23/31.10348013</f>
        <v>3.5309875146116001</v>
      </c>
      <c r="CT23" s="17">
        <v>108.369</v>
      </c>
      <c r="CU23" s="18">
        <f>CT23/31.10348013</f>
        <v>3.4841438818762818</v>
      </c>
      <c r="CV23" s="17"/>
      <c r="CW23" s="17"/>
      <c r="CX23" s="17"/>
      <c r="CY23" s="17"/>
      <c r="CZ23" s="17"/>
      <c r="DA23" s="17"/>
      <c r="DB23" s="17"/>
      <c r="DC23" s="17"/>
      <c r="DD23" s="17"/>
      <c r="DE23" s="17"/>
      <c r="DF23" s="17"/>
      <c r="DG23" s="17"/>
      <c r="DH23" s="17"/>
      <c r="DI23" s="17"/>
      <c r="DJ23" s="17"/>
      <c r="DK23" s="17"/>
      <c r="DL23" s="17"/>
      <c r="DM23" s="17"/>
      <c r="DN23" s="17"/>
      <c r="DO23" s="17"/>
      <c r="DP23" s="17"/>
      <c r="DQ23" s="17"/>
      <c r="DR23" s="17"/>
      <c r="DS23" s="17"/>
      <c r="DT23" s="17"/>
      <c r="DU23" s="17"/>
      <c r="DV23" s="17">
        <v>116.026</v>
      </c>
      <c r="DW23" s="18">
        <f>DV23/31.10348013</f>
        <v>3.7303221219959348</v>
      </c>
      <c r="DX23" s="17">
        <v>139.50200000000001</v>
      </c>
      <c r="DY23" s="18">
        <f>DX23/31.10348013</f>
        <v>4.4850929676337801</v>
      </c>
      <c r="DZ23" s="17">
        <v>148.506</v>
      </c>
      <c r="EA23" s="18">
        <f>DZ23/31.10348013</f>
        <v>4.7745782587448353</v>
      </c>
      <c r="EB23" s="17">
        <v>140.298</v>
      </c>
      <c r="EC23" s="18">
        <f>EB23/31.10348013</f>
        <v>4.5106849591624778</v>
      </c>
      <c r="ED23" s="17">
        <v>156.047</v>
      </c>
      <c r="EE23" s="18">
        <f>ED23/31.10348013</f>
        <v>5.0170270126618144</v>
      </c>
      <c r="EF23" s="17">
        <v>114.675</v>
      </c>
      <c r="EG23" s="18">
        <f>EF23/31.10348013</f>
        <v>3.6868864680320259</v>
      </c>
      <c r="EH23" s="17">
        <v>118.84399999999999</v>
      </c>
      <c r="EI23" s="18">
        <f>EH23/31.10348013</f>
        <v>3.8209229161264275</v>
      </c>
      <c r="EJ23" s="17">
        <v>131.178</v>
      </c>
      <c r="EK23" s="18">
        <f>EJ23/31.10348013</f>
        <v>4.2174701818487472</v>
      </c>
      <c r="EL23" s="17">
        <v>116.958</v>
      </c>
      <c r="EM23" s="18">
        <f>EL23/31.10348013</f>
        <v>3.7602866145898379</v>
      </c>
      <c r="EN23" s="17">
        <v>106.572</v>
      </c>
      <c r="EO23" s="18">
        <f>EN23/31.10348013</f>
        <v>3.4263689964779513</v>
      </c>
      <c r="EP23" s="17">
        <v>128.90299999999999</v>
      </c>
      <c r="EQ23" s="18">
        <f>EP23/31.10348013</f>
        <v>4.1443272412359464</v>
      </c>
      <c r="ER23" s="17">
        <v>131.06899999999999</v>
      </c>
      <c r="ES23" s="18">
        <f>ER23/31.10348013</f>
        <v>4.213965750847958</v>
      </c>
      <c r="ET23" s="17">
        <v>94.382000000000005</v>
      </c>
      <c r="EU23" s="18">
        <f>ET23/31.10348013</f>
        <v>3.0344514377658487</v>
      </c>
      <c r="EV23" s="17">
        <v>97.44</v>
      </c>
      <c r="EW23" s="18">
        <f>EV23/31.10348013</f>
        <v>3.1327684102467024</v>
      </c>
      <c r="EX23" s="17">
        <v>133.06299999999999</v>
      </c>
      <c r="EY23" s="18">
        <f>EX23/31.10348013</f>
        <v>4.2780743326422099</v>
      </c>
      <c r="EZ23" s="17">
        <v>99.846999999999994</v>
      </c>
      <c r="FA23" s="18">
        <f>EZ23/31.10348013</f>
        <v>3.2101552489522009</v>
      </c>
      <c r="FB23" s="17">
        <v>101.34099999999999</v>
      </c>
      <c r="FC23" s="18">
        <f>FB23/31.10348013</f>
        <v>3.2581884591832004</v>
      </c>
      <c r="FD23" s="17">
        <v>71.695999999999998</v>
      </c>
      <c r="FE23" s="18">
        <f>FD23/31.10348013</f>
        <v>2.3050796791979429</v>
      </c>
      <c r="FF23" s="17">
        <v>107.023</v>
      </c>
      <c r="FG23" s="18">
        <f>FF23/31.10348013</f>
        <v>3.4408689816280051</v>
      </c>
      <c r="FH23" s="17">
        <v>106.631</v>
      </c>
      <c r="FI23" s="18">
        <f>FH23/31.10348013</f>
        <v>3.428265890322415</v>
      </c>
      <c r="FJ23" s="17">
        <v>123.398</v>
      </c>
      <c r="FK23" s="18">
        <f>FJ23/31.10348013</f>
        <v>3.9673374003245336</v>
      </c>
      <c r="FL23" s="17">
        <v>118.515</v>
      </c>
      <c r="FM23" s="18">
        <f>FL23/31.10348013</f>
        <v>3.8103453216378074</v>
      </c>
      <c r="FN23" s="17">
        <v>101.265</v>
      </c>
      <c r="FO23" s="18">
        <f>FN23/31.10348013</f>
        <v>3.2557450027055861</v>
      </c>
      <c r="FP23" s="17">
        <v>87.188000000000002</v>
      </c>
      <c r="FQ23" s="18">
        <f>FP23/31.10348013</f>
        <v>2.8031589917137674</v>
      </c>
      <c r="FR23" s="17">
        <v>123.855</v>
      </c>
      <c r="FS23" s="18">
        <f>FR23/31.10348013</f>
        <v>3.9820302899333471</v>
      </c>
      <c r="FT23" s="17">
        <v>107.98</v>
      </c>
      <c r="FU23" s="18">
        <f>FT23/31.10348013</f>
        <v>3.471637242800071</v>
      </c>
      <c r="FV23" s="17">
        <v>106.89100000000001</v>
      </c>
      <c r="FW23" s="18">
        <f>FV23/31.10348013</f>
        <v>3.4366250835353065</v>
      </c>
      <c r="FX23" s="17">
        <v>132.27000000000001</v>
      </c>
      <c r="FY23" s="18">
        <f>FX23/31.10348013</f>
        <v>4.2525787933428916</v>
      </c>
      <c r="FZ23" s="17">
        <v>109.52500000000001</v>
      </c>
      <c r="GA23" s="18">
        <f>FZ23/31.10348013</f>
        <v>3.5213101409305225</v>
      </c>
      <c r="GB23" s="17">
        <v>101.491</v>
      </c>
      <c r="GC23" s="18">
        <f>GB23/31.10348013</f>
        <v>3.2630110706521762</v>
      </c>
      <c r="GD23" s="17">
        <v>161.34</v>
      </c>
      <c r="GE23" s="18">
        <f>GD23/31.10348013</f>
        <v>5.1872008960304079</v>
      </c>
      <c r="GF23" s="17">
        <v>97.674999999999997</v>
      </c>
      <c r="GG23" s="18">
        <f>GF23/31.10348013</f>
        <v>3.1403238348814311</v>
      </c>
      <c r="GH23" s="17">
        <v>103.694</v>
      </c>
      <c r="GI23" s="18">
        <f>GH23/31.10348013</f>
        <v>3.3338391577598685</v>
      </c>
      <c r="GJ23" s="17">
        <v>135.572</v>
      </c>
      <c r="GK23" s="18">
        <f>GJ23/31.10348013</f>
        <v>4.3587405471466125</v>
      </c>
      <c r="GL23" s="17">
        <v>155.72900000000001</v>
      </c>
      <c r="GM23" s="18">
        <f>GL23/31.10348013</f>
        <v>5.0068030763475857</v>
      </c>
      <c r="GN23" s="17">
        <v>147.46199999999999</v>
      </c>
      <c r="GO23" s="18">
        <f>GN23/31.10348013</f>
        <v>4.7410128829207636</v>
      </c>
      <c r="GP23" s="17">
        <v>161.40600000000001</v>
      </c>
      <c r="GQ23" s="18">
        <f>GP23/31.10348013</f>
        <v>5.1893228450767577</v>
      </c>
      <c r="GR23" s="17">
        <v>122.176</v>
      </c>
      <c r="GS23" s="18">
        <f>GR23/31.10348013</f>
        <v>3.928049192223944</v>
      </c>
      <c r="GT23" s="17">
        <v>89.912999999999997</v>
      </c>
      <c r="GU23" s="18">
        <f>GT23/31.10348013</f>
        <v>2.8907697667334951</v>
      </c>
      <c r="GV23" s="17">
        <v>116.675</v>
      </c>
      <c r="GW23" s="18">
        <f>GV23/31.10348013</f>
        <v>3.751187954285037</v>
      </c>
      <c r="GX23" s="17">
        <v>127.407</v>
      </c>
      <c r="GY23" s="18">
        <f>GX23/31.10348013</f>
        <v>4.0962297295186945</v>
      </c>
      <c r="GZ23" s="17">
        <v>118.68</v>
      </c>
      <c r="HA23" s="18">
        <f>GZ23/31.10348013</f>
        <v>3.8156501942536809</v>
      </c>
      <c r="HB23" s="17">
        <v>112.666</v>
      </c>
      <c r="HC23" s="18">
        <f>HB23/31.10348013</f>
        <v>3.6222956250908762</v>
      </c>
      <c r="HD23" s="17">
        <v>148.501</v>
      </c>
      <c r="HE23" s="18">
        <f>HD23/31.10348013</f>
        <v>4.774417505029203</v>
      </c>
      <c r="HF23" s="17">
        <v>100.828</v>
      </c>
      <c r="HG23" s="18">
        <f>HF23/31.10348013</f>
        <v>3.2416951279593031</v>
      </c>
      <c r="HH23" s="17">
        <v>91.192999999999998</v>
      </c>
      <c r="HI23" s="18">
        <f>HH23/31.10348013</f>
        <v>2.9319227179354219</v>
      </c>
      <c r="HJ23" s="17">
        <v>121.76600000000001</v>
      </c>
      <c r="HK23" s="18">
        <f>HJ23/31.10348013</f>
        <v>3.9148673875420767</v>
      </c>
      <c r="HL23" s="17">
        <v>120.59099999999999</v>
      </c>
      <c r="HM23" s="18">
        <f t="shared" si="380"/>
        <v>3.8770902643684324</v>
      </c>
      <c r="HN23" s="17">
        <v>165.46799999999999</v>
      </c>
      <c r="HO23" s="18">
        <f t="shared" si="381"/>
        <v>5.319919163656623</v>
      </c>
      <c r="HP23" s="17">
        <v>137.77500000000001</v>
      </c>
      <c r="HQ23" s="18">
        <f t="shared" si="382"/>
        <v>4.4295686342543048</v>
      </c>
      <c r="HR23" s="17">
        <v>141.81299999999999</v>
      </c>
      <c r="HS23" s="18">
        <f>HR23/31.10348013</f>
        <v>4.5593933349991334</v>
      </c>
      <c r="HT23" s="17">
        <v>112.461</v>
      </c>
      <c r="HU23" s="18">
        <f t="shared" si="384"/>
        <v>3.6157047227499426</v>
      </c>
      <c r="HV23" s="17">
        <v>154.041</v>
      </c>
      <c r="HW23" s="18">
        <f t="shared" si="385"/>
        <v>4.9525326219500441</v>
      </c>
      <c r="HX23" s="17">
        <v>140.93799999999999</v>
      </c>
      <c r="HY23" s="18">
        <f t="shared" si="386"/>
        <v>4.531261434763441</v>
      </c>
      <c r="HZ23" s="17">
        <v>133</v>
      </c>
      <c r="IA23" s="18">
        <f t="shared" si="387"/>
        <v>4.2760488358252404</v>
      </c>
      <c r="IB23" s="17">
        <v>122.733</v>
      </c>
      <c r="IC23" s="18">
        <f t="shared" si="388"/>
        <v>3.9459571561454077</v>
      </c>
      <c r="ID23" s="17">
        <v>131.97300000000001</v>
      </c>
      <c r="IE23" s="18">
        <f t="shared" si="389"/>
        <v>4.2430300226343194</v>
      </c>
      <c r="IF23" s="17">
        <v>119.471</v>
      </c>
      <c r="IG23" s="18">
        <f t="shared" si="390"/>
        <v>3.8410814320667468</v>
      </c>
      <c r="IH23" s="17">
        <v>124.21599999999999</v>
      </c>
      <c r="II23" s="18">
        <f t="shared" si="391"/>
        <v>3.9936367082020152</v>
      </c>
      <c r="IJ23" s="17">
        <v>116.57599999999999</v>
      </c>
      <c r="IK23" s="18">
        <f t="shared" si="392"/>
        <v>3.7480050307155128</v>
      </c>
      <c r="IL23" s="17">
        <v>66.472999999999999</v>
      </c>
      <c r="IM23" s="18">
        <f t="shared" si="393"/>
        <v>2.1371563478482045</v>
      </c>
      <c r="IN23" s="17">
        <v>128.12799999999999</v>
      </c>
      <c r="IO23" s="18">
        <f t="shared" si="394"/>
        <v>4.1194104153129052</v>
      </c>
      <c r="IP23" s="17">
        <v>113.157</v>
      </c>
      <c r="IQ23" s="18">
        <f t="shared" si="395"/>
        <v>3.6380816399659901</v>
      </c>
      <c r="IR23" s="17">
        <v>151.90799999999999</v>
      </c>
      <c r="IS23" s="18">
        <f t="shared" si="396"/>
        <v>4.8839550868612074</v>
      </c>
      <c r="IT23" s="17">
        <v>115.742</v>
      </c>
      <c r="IU23" s="18">
        <f t="shared" si="397"/>
        <v>3.7211913109480075</v>
      </c>
      <c r="IV23" s="17">
        <v>98.945999999999998</v>
      </c>
      <c r="IW23" s="18">
        <f t="shared" si="398"/>
        <v>3.1811874293952198</v>
      </c>
      <c r="IX23" s="17">
        <v>119.953</v>
      </c>
      <c r="IY23" s="18">
        <f t="shared" si="399"/>
        <v>3.8565780902537221</v>
      </c>
      <c r="IZ23" s="17">
        <v>106.078</v>
      </c>
      <c r="JA23" s="18">
        <f t="shared" si="400"/>
        <v>3.4104865293734576</v>
      </c>
      <c r="JB23" s="17">
        <v>107.78400000000001</v>
      </c>
      <c r="JC23" s="18">
        <f t="shared" si="401"/>
        <v>3.465335697147276</v>
      </c>
      <c r="JD23" s="17">
        <v>130.72999999999999</v>
      </c>
      <c r="JE23" s="18">
        <f t="shared" si="402"/>
        <v>4.2030666489280728</v>
      </c>
      <c r="JF23" s="17">
        <v>104.651</v>
      </c>
      <c r="JG23" s="18">
        <f t="shared" si="403"/>
        <v>3.3646074189319339</v>
      </c>
      <c r="JH23" s="17">
        <v>145.97999999999999</v>
      </c>
      <c r="JI23" s="18">
        <f t="shared" si="404"/>
        <v>4.6933654816072821</v>
      </c>
      <c r="JJ23" s="17">
        <v>128.773</v>
      </c>
      <c r="JK23" s="18">
        <f t="shared" si="405"/>
        <v>4.1401476446295016</v>
      </c>
      <c r="JL23" s="17">
        <v>99.272999999999996</v>
      </c>
      <c r="JM23" s="18">
        <f t="shared" si="406"/>
        <v>3.1917007223975871</v>
      </c>
      <c r="JN23" s="17">
        <v>103.828</v>
      </c>
      <c r="JO23" s="18">
        <f t="shared" si="407"/>
        <v>3.3381473573388201</v>
      </c>
      <c r="JP23" s="17">
        <v>115.709</v>
      </c>
      <c r="JQ23" s="18">
        <f t="shared" si="408"/>
        <v>3.7201303364248326</v>
      </c>
      <c r="JR23" s="17">
        <v>143.19300000000001</v>
      </c>
      <c r="JS23" s="18">
        <f t="shared" si="409"/>
        <v>4.6037613605137118</v>
      </c>
      <c r="JT23" s="17">
        <v>126.95399999999999</v>
      </c>
      <c r="JU23" s="18">
        <f t="shared" si="410"/>
        <v>4.0816654428823878</v>
      </c>
      <c r="JV23" s="17">
        <v>103.959</v>
      </c>
      <c r="JW23" s="18">
        <f t="shared" si="411"/>
        <v>3.3423591046883923</v>
      </c>
      <c r="JX23" s="17">
        <v>112.551</v>
      </c>
      <c r="JY23" s="18">
        <f t="shared" si="412"/>
        <v>3.6185982896313282</v>
      </c>
      <c r="JZ23" s="17">
        <v>127.613</v>
      </c>
      <c r="KA23" s="18">
        <f t="shared" si="413"/>
        <v>4.1028527826027545</v>
      </c>
      <c r="KB23" s="17">
        <v>124.19499999999999</v>
      </c>
      <c r="KC23" s="18">
        <f t="shared" si="414"/>
        <v>3.9929615425963587</v>
      </c>
      <c r="KD23" s="17">
        <v>126.179</v>
      </c>
      <c r="KE23" s="18">
        <f t="shared" si="415"/>
        <v>4.0567486169593456</v>
      </c>
      <c r="KF23" s="17">
        <v>113.574</v>
      </c>
      <c r="KG23" s="18">
        <f t="shared" si="416"/>
        <v>3.651488499849743</v>
      </c>
      <c r="KH23" s="17">
        <v>104.151</v>
      </c>
      <c r="KI23" s="18">
        <f t="shared" si="417"/>
        <v>3.348532047368681</v>
      </c>
      <c r="KJ23" s="17">
        <v>113.66500000000001</v>
      </c>
      <c r="KK23" s="18">
        <f t="shared" si="418"/>
        <v>3.6544142174742555</v>
      </c>
      <c r="KL23" s="17">
        <v>146.952</v>
      </c>
      <c r="KM23" s="18">
        <f t="shared" si="419"/>
        <v>4.7246160039262461</v>
      </c>
      <c r="KN23" s="17">
        <v>124.727</v>
      </c>
      <c r="KO23" s="18">
        <f t="shared" si="420"/>
        <v>4.0100657379396596</v>
      </c>
      <c r="KP23" s="17">
        <v>123.694</v>
      </c>
      <c r="KQ23" s="18">
        <f t="shared" si="421"/>
        <v>3.9768540202899798</v>
      </c>
      <c r="KR23" s="17">
        <v>114.381</v>
      </c>
      <c r="KS23" s="18">
        <f t="shared" si="422"/>
        <v>3.6774341495528331</v>
      </c>
      <c r="KT23" s="17">
        <v>147.261</v>
      </c>
      <c r="KU23" s="18">
        <f t="shared" si="423"/>
        <v>4.7345505835523358</v>
      </c>
      <c r="KV23" s="17">
        <v>92.305000000000007</v>
      </c>
      <c r="KW23" s="18">
        <f t="shared" si="424"/>
        <v>2.9676743442920963</v>
      </c>
      <c r="KX23" s="17">
        <v>97.966999999999999</v>
      </c>
      <c r="KY23" s="18">
        <f t="shared" si="425"/>
        <v>3.149711851874371</v>
      </c>
      <c r="KZ23" s="17">
        <v>159.90299999999999</v>
      </c>
      <c r="LA23" s="18">
        <f t="shared" si="426"/>
        <v>5.1410002781576196</v>
      </c>
      <c r="LB23" s="18">
        <v>66.3</v>
      </c>
      <c r="LC23" s="18">
        <f t="shared" si="427"/>
        <v>2.1315942692873189</v>
      </c>
      <c r="LD23" s="17">
        <v>121.908</v>
      </c>
      <c r="LE23" s="18">
        <f t="shared" si="428"/>
        <v>3.9194327930660404</v>
      </c>
      <c r="LF23" s="17">
        <v>153.47800000000001</v>
      </c>
      <c r="LG23" s="18">
        <f t="shared" si="429"/>
        <v>4.9344317535698217</v>
      </c>
      <c r="LH23" s="17">
        <v>97.831000000000003</v>
      </c>
      <c r="LI23" s="18">
        <f t="shared" si="430"/>
        <v>3.145339350809166</v>
      </c>
      <c r="LJ23" s="17">
        <v>122.018</v>
      </c>
      <c r="LK23" s="18">
        <f t="shared" si="431"/>
        <v>3.9229693748099561</v>
      </c>
      <c r="LL23" s="17">
        <v>134.51400000000001</v>
      </c>
      <c r="LM23" s="18">
        <f t="shared" si="432"/>
        <v>4.3247250609187704</v>
      </c>
      <c r="LN23" s="17">
        <v>145.24600000000001</v>
      </c>
      <c r="LO23" s="18">
        <f t="shared" si="433"/>
        <v>4.6697668361524274</v>
      </c>
      <c r="LP23" s="17">
        <v>133.44800000000001</v>
      </c>
      <c r="LQ23" s="18">
        <f t="shared" si="434"/>
        <v>4.2904523687459148</v>
      </c>
      <c r="LR23" s="17">
        <v>136.01400000000001</v>
      </c>
      <c r="LS23" s="18">
        <f t="shared" si="435"/>
        <v>4.3729511756085282</v>
      </c>
      <c r="LT23" s="17">
        <v>152.74600000000001</v>
      </c>
      <c r="LU23" s="18">
        <f t="shared" si="436"/>
        <v>4.9108974096012199</v>
      </c>
      <c r="LV23" s="17">
        <v>104.596</v>
      </c>
      <c r="LW23" s="18">
        <f t="shared" si="437"/>
        <v>3.3628391280599765</v>
      </c>
      <c r="LX23" s="17">
        <v>101.264</v>
      </c>
      <c r="LY23" s="18">
        <f t="shared" si="438"/>
        <v>3.2557128519624596</v>
      </c>
      <c r="LZ23" s="17">
        <v>107.82299999999999</v>
      </c>
      <c r="MA23" s="18">
        <f t="shared" si="439"/>
        <v>3.4665895761292096</v>
      </c>
      <c r="MB23" s="17">
        <v>129.51499999999999</v>
      </c>
      <c r="MC23" s="18">
        <f t="shared" si="440"/>
        <v>4.1640034960293679</v>
      </c>
      <c r="MD23" s="17">
        <v>86.058999999999997</v>
      </c>
      <c r="ME23" s="18">
        <f t="shared" si="441"/>
        <v>2.7668608027239423</v>
      </c>
      <c r="MF23" s="17">
        <v>122.209</v>
      </c>
      <c r="MG23" s="18">
        <f t="shared" si="442"/>
        <v>3.9291101667471189</v>
      </c>
      <c r="MH23" s="17">
        <v>153.251</v>
      </c>
      <c r="MI23" s="18">
        <f t="shared" si="443"/>
        <v>4.9271335348801051</v>
      </c>
      <c r="MJ23" s="17">
        <v>123.827</v>
      </c>
      <c r="MK23" s="18">
        <f t="shared" si="444"/>
        <v>3.9811300691258049</v>
      </c>
      <c r="ML23" s="17">
        <v>96.173000000000002</v>
      </c>
      <c r="MM23" s="18">
        <f t="shared" si="445"/>
        <v>3.0920334187054199</v>
      </c>
      <c r="MN23" s="17">
        <v>148.72</v>
      </c>
      <c r="MO23" s="18">
        <f t="shared" si="446"/>
        <v>4.781458517773908</v>
      </c>
      <c r="MP23" s="17">
        <v>183.86</v>
      </c>
      <c r="MQ23" s="18">
        <f t="shared" si="447"/>
        <v>5.9112356312393137</v>
      </c>
      <c r="MR23" s="17">
        <v>99.33</v>
      </c>
      <c r="MS23" s="18">
        <f t="shared" si="448"/>
        <v>3.1935333147557978</v>
      </c>
      <c r="MT23" s="17">
        <v>100.31100000000001</v>
      </c>
      <c r="MU23" s="18">
        <f t="shared" si="449"/>
        <v>3.2250731937629</v>
      </c>
      <c r="MV23" s="17">
        <v>129.815</v>
      </c>
      <c r="MW23" s="18">
        <f t="shared" si="450"/>
        <v>4.1736487189673204</v>
      </c>
      <c r="MX23" s="17">
        <v>78.323999999999998</v>
      </c>
      <c r="MY23" s="18">
        <f t="shared" si="451"/>
        <v>2.518174804640422</v>
      </c>
      <c r="MZ23" s="17">
        <v>162.47</v>
      </c>
      <c r="NA23" s="18">
        <f t="shared" si="452"/>
        <v>5.2235312357633594</v>
      </c>
      <c r="NB23" s="17">
        <v>127.163</v>
      </c>
      <c r="NC23" s="18">
        <f t="shared" si="453"/>
        <v>4.0883849481958272</v>
      </c>
      <c r="ND23" s="17">
        <v>154.995</v>
      </c>
      <c r="NE23" s="18">
        <f t="shared" si="454"/>
        <v>4.9832044308927301</v>
      </c>
      <c r="NF23" s="17">
        <v>120.88500000000001</v>
      </c>
      <c r="NG23" s="18">
        <f t="shared" si="455"/>
        <v>3.8865425828476257</v>
      </c>
      <c r="NH23" s="17">
        <v>112.297</v>
      </c>
      <c r="NI23" s="18">
        <f t="shared" si="456"/>
        <v>3.6104320008771955</v>
      </c>
      <c r="NJ23" s="17">
        <v>126.27500000000001</v>
      </c>
      <c r="NK23" s="18">
        <f t="shared" si="457"/>
        <v>4.0598350882994909</v>
      </c>
      <c r="NL23" s="17">
        <v>110.80800000000001</v>
      </c>
      <c r="NM23" s="18">
        <f t="shared" si="458"/>
        <v>3.5625595443618292</v>
      </c>
      <c r="NN23" s="17">
        <v>115.477</v>
      </c>
      <c r="NO23" s="18">
        <f t="shared" si="459"/>
        <v>3.7126713640194833</v>
      </c>
      <c r="NP23" s="17">
        <v>95.236999999999995</v>
      </c>
      <c r="NQ23" s="18">
        <f t="shared" si="460"/>
        <v>3.0619403231390105</v>
      </c>
      <c r="NR23" s="17">
        <v>136.21700000000001</v>
      </c>
      <c r="NS23" s="18">
        <f t="shared" si="461"/>
        <v>4.3794777764632089</v>
      </c>
      <c r="NT23" s="17">
        <v>71.753</v>
      </c>
      <c r="NU23" s="18">
        <f t="shared" si="462"/>
        <v>2.3069122715561541</v>
      </c>
      <c r="NV23" s="17">
        <v>123.04</v>
      </c>
      <c r="NW23" s="18">
        <f t="shared" si="463"/>
        <v>3.9558274342852453</v>
      </c>
      <c r="NX23" s="17">
        <v>135.98099999999999</v>
      </c>
      <c r="NY23" s="18">
        <f t="shared" si="464"/>
        <v>4.3718902010853533</v>
      </c>
      <c r="NZ23" s="17">
        <v>119.148</v>
      </c>
      <c r="OA23" s="18">
        <f t="shared" si="465"/>
        <v>3.8306967420368849</v>
      </c>
      <c r="OB23" s="17">
        <v>147.16499999999999</v>
      </c>
      <c r="OC23" s="18">
        <f t="shared" si="466"/>
        <v>4.7314641122121914</v>
      </c>
      <c r="OD23" s="17">
        <v>100.361</v>
      </c>
      <c r="OE23" s="18">
        <f t="shared" si="467"/>
        <v>3.2266807309192251</v>
      </c>
      <c r="OF23" s="17">
        <v>119.97799999999999</v>
      </c>
      <c r="OG23" s="18">
        <f t="shared" si="468"/>
        <v>3.8573818588318844</v>
      </c>
      <c r="OH23" s="17">
        <v>128.97300000000001</v>
      </c>
      <c r="OI23" s="18">
        <f t="shared" si="469"/>
        <v>4.1465777932548029</v>
      </c>
      <c r="OJ23" s="17">
        <v>121.992</v>
      </c>
      <c r="OK23" s="18">
        <f t="shared" si="470"/>
        <v>3.9221334554886673</v>
      </c>
      <c r="OL23" s="17">
        <v>121.715</v>
      </c>
      <c r="OM23" s="18">
        <f t="shared" si="471"/>
        <v>3.9132276996426252</v>
      </c>
      <c r="ON23" s="17">
        <v>142.792</v>
      </c>
      <c r="OO23" s="18">
        <f t="shared" si="472"/>
        <v>4.5908689125199826</v>
      </c>
      <c r="OP23" s="17">
        <v>85.67</v>
      </c>
      <c r="OQ23" s="18">
        <f t="shared" si="473"/>
        <v>2.754354163647732</v>
      </c>
      <c r="OR23" s="17">
        <v>113.08499999999999</v>
      </c>
      <c r="OS23" s="18">
        <f t="shared" si="474"/>
        <v>3.6357667864608816</v>
      </c>
      <c r="OT23" s="17">
        <v>116.49</v>
      </c>
      <c r="OU23" s="18">
        <f t="shared" si="475"/>
        <v>3.7452400668066335</v>
      </c>
      <c r="OV23" s="17">
        <v>112.36199999999999</v>
      </c>
      <c r="OW23" s="18">
        <f t="shared" si="476"/>
        <v>3.6125217991804184</v>
      </c>
      <c r="OX23" s="17">
        <v>121.536</v>
      </c>
      <c r="OY23" s="18">
        <f t="shared" si="477"/>
        <v>3.9074727166229803</v>
      </c>
      <c r="OZ23" s="17">
        <v>163.62200000000001</v>
      </c>
      <c r="PA23" s="18">
        <f t="shared" si="478"/>
        <v>5.2605688918450939</v>
      </c>
      <c r="PB23" s="17">
        <v>110.619</v>
      </c>
      <c r="PC23" s="18">
        <f t="shared" si="479"/>
        <v>3.5564830539109193</v>
      </c>
      <c r="PD23" s="17">
        <v>135.822</v>
      </c>
      <c r="PE23" s="18">
        <f t="shared" si="480"/>
        <v>4.3667782329282394</v>
      </c>
      <c r="PF23" s="17">
        <v>119.179</v>
      </c>
      <c r="PG23" s="18">
        <f t="shared" si="481"/>
        <v>3.8316934150738069</v>
      </c>
      <c r="PH23" s="17">
        <v>172.952</v>
      </c>
      <c r="PI23" s="18">
        <f t="shared" si="482"/>
        <v>5.5605353252153904</v>
      </c>
      <c r="PJ23" s="17">
        <v>132.47900000000001</v>
      </c>
      <c r="PK23" s="18">
        <f t="shared" si="483"/>
        <v>4.259298298656331</v>
      </c>
      <c r="PL23" s="17">
        <v>136.446</v>
      </c>
      <c r="PM23" s="18">
        <f t="shared" si="484"/>
        <v>4.3868402966391784</v>
      </c>
      <c r="PN23" s="17">
        <v>106.85299999999999</v>
      </c>
      <c r="PO23" s="18">
        <f t="shared" si="485"/>
        <v>3.4354033552964993</v>
      </c>
      <c r="PP23" s="17">
        <v>138.60900000000001</v>
      </c>
      <c r="PQ23" s="18">
        <f t="shared" si="486"/>
        <v>4.4563823540218106</v>
      </c>
      <c r="PR23" s="17">
        <v>104.995</v>
      </c>
      <c r="PS23" s="18">
        <f t="shared" si="487"/>
        <v>3.3756672745674523</v>
      </c>
      <c r="PT23" s="17">
        <v>103.392</v>
      </c>
      <c r="PU23" s="18">
        <f t="shared" si="488"/>
        <v>3.3241296333356636</v>
      </c>
      <c r="PV23" s="17">
        <v>113.25</v>
      </c>
      <c r="PW23" s="18">
        <f t="shared" si="489"/>
        <v>3.6410716590767556</v>
      </c>
      <c r="PX23" s="17">
        <v>103.42400000000001</v>
      </c>
      <c r="PY23" s="18">
        <f t="shared" si="490"/>
        <v>3.325158457115712</v>
      </c>
      <c r="PZ23" s="17">
        <v>130.71199999999999</v>
      </c>
      <c r="QA23" s="18">
        <f t="shared" si="491"/>
        <v>4.2024879355517957</v>
      </c>
      <c r="QB23" s="17">
        <v>95.525000000000006</v>
      </c>
      <c r="QC23" s="18">
        <f t="shared" si="492"/>
        <v>3.0711997371594446</v>
      </c>
      <c r="QD23" s="17">
        <v>98.245000000000005</v>
      </c>
      <c r="QE23" s="18">
        <f t="shared" si="493"/>
        <v>3.1586497584635396</v>
      </c>
      <c r="QF23" s="17">
        <v>105.501</v>
      </c>
      <c r="QG23" s="18">
        <f t="shared" si="494"/>
        <v>3.3919355505894639</v>
      </c>
      <c r="QH23" s="17">
        <v>106.30200000000001</v>
      </c>
      <c r="QI23" s="18">
        <f t="shared" si="495"/>
        <v>3.4176882958337949</v>
      </c>
      <c r="QJ23" s="17">
        <v>130.023</v>
      </c>
      <c r="QK23" s="18">
        <f t="shared" si="496"/>
        <v>4.1803360735376334</v>
      </c>
      <c r="QL23" s="17">
        <v>118.681</v>
      </c>
      <c r="QM23" s="18">
        <f t="shared" si="497"/>
        <v>3.8156823449968069</v>
      </c>
      <c r="QN23" s="17">
        <v>120.596</v>
      </c>
      <c r="QO23" s="18">
        <f t="shared" si="498"/>
        <v>3.8772510180840656</v>
      </c>
      <c r="QP23" s="17">
        <v>128.393</v>
      </c>
      <c r="QQ23" s="18">
        <f t="shared" si="499"/>
        <v>4.127930362241429</v>
      </c>
      <c r="QR23" s="17">
        <v>129.90600000000001</v>
      </c>
      <c r="QS23" s="18">
        <f t="shared" si="500"/>
        <v>4.1765744365918325</v>
      </c>
      <c r="QT23" s="17">
        <v>96.129000000000005</v>
      </c>
      <c r="QU23" s="18">
        <f t="shared" si="501"/>
        <v>3.0906187860078536</v>
      </c>
      <c r="QV23" s="17">
        <v>111.22499999999999</v>
      </c>
      <c r="QW23" s="18">
        <f t="shared" si="502"/>
        <v>3.5759664042455817</v>
      </c>
      <c r="QX23" s="17">
        <v>96.198999999999998</v>
      </c>
      <c r="QY23" s="18">
        <f t="shared" si="503"/>
        <v>3.0928693380267087</v>
      </c>
      <c r="QZ23" s="17">
        <v>95.144999999999996</v>
      </c>
      <c r="RA23" s="18">
        <f t="shared" si="504"/>
        <v>3.058982454771372</v>
      </c>
      <c r="RB23" s="17">
        <v>116.39100000000001</v>
      </c>
      <c r="RC23" s="18">
        <f t="shared" si="505"/>
        <v>3.7420571432371097</v>
      </c>
      <c r="RD23" s="17">
        <v>116.979</v>
      </c>
      <c r="RE23" s="18">
        <f t="shared" si="506"/>
        <v>3.7609617801954944</v>
      </c>
      <c r="RF23" s="17">
        <v>147.65600000000001</v>
      </c>
      <c r="RG23" s="18">
        <f t="shared" si="507"/>
        <v>4.7472501270873062</v>
      </c>
      <c r="RH23" s="18">
        <v>109.27200000000001</v>
      </c>
      <c r="RI23" s="18">
        <f t="shared" si="508"/>
        <v>3.5131760029195163</v>
      </c>
      <c r="RJ23" s="18">
        <v>111.203</v>
      </c>
      <c r="RK23" s="18">
        <f t="shared" si="509"/>
        <v>3.5752590878967987</v>
      </c>
      <c r="RL23" s="17">
        <v>102.48699999999999</v>
      </c>
      <c r="RM23" s="18">
        <f t="shared" si="510"/>
        <v>3.2950332108061757</v>
      </c>
      <c r="RN23" s="17">
        <v>79.097999999999999</v>
      </c>
      <c r="RO23" s="18">
        <f t="shared" si="511"/>
        <v>2.5430594798203372</v>
      </c>
      <c r="RP23" s="17">
        <v>147.80799999999999</v>
      </c>
      <c r="RQ23" s="18">
        <f t="shared" si="512"/>
        <v>4.7521370400425349</v>
      </c>
      <c r="RR23" s="17">
        <v>110.343</v>
      </c>
      <c r="RS23" s="18">
        <f t="shared" si="513"/>
        <v>3.5476094488080037</v>
      </c>
      <c r="RT23" s="17">
        <v>118.48399999999999</v>
      </c>
      <c r="RU23" s="18">
        <f t="shared" si="514"/>
        <v>3.8093486486008854</v>
      </c>
      <c r="RV23" s="17">
        <v>102.256</v>
      </c>
      <c r="RW23" s="18">
        <f t="shared" si="515"/>
        <v>3.2876063891439533</v>
      </c>
      <c r="RX23" s="17">
        <v>135.077</v>
      </c>
      <c r="RY23" s="18">
        <f t="shared" si="516"/>
        <v>4.3428259292989919</v>
      </c>
      <c r="RZ23" s="17">
        <v>93.606999999999999</v>
      </c>
      <c r="SA23" s="18">
        <f t="shared" si="517"/>
        <v>3.0095346118428066</v>
      </c>
      <c r="SB23" s="17">
        <v>84.915000000000006</v>
      </c>
      <c r="SC23" s="18">
        <f t="shared" si="518"/>
        <v>2.7300803525872204</v>
      </c>
      <c r="SD23" s="17">
        <v>112.057</v>
      </c>
      <c r="SE23" s="18">
        <f t="shared" si="519"/>
        <v>3.6027158225268345</v>
      </c>
      <c r="SF23" s="17">
        <v>126.812</v>
      </c>
      <c r="SG23" s="18">
        <f t="shared" si="520"/>
        <v>4.0771000373584236</v>
      </c>
      <c r="SH23" s="17">
        <v>136.50800000000001</v>
      </c>
      <c r="SI23" s="18">
        <f t="shared" si="521"/>
        <v>4.3888336427130223</v>
      </c>
      <c r="SJ23" s="17">
        <v>97.033000000000001</v>
      </c>
      <c r="SK23" s="18">
        <f t="shared" si="522"/>
        <v>3.1196830577942145</v>
      </c>
      <c r="SL23" s="17">
        <v>100.971</v>
      </c>
      <c r="SM23" s="18">
        <f t="shared" si="523"/>
        <v>3.2462926842263937</v>
      </c>
      <c r="SN23" s="17">
        <v>112.98099999999999</v>
      </c>
      <c r="SO23" s="18">
        <f t="shared" si="524"/>
        <v>3.6324231091757251</v>
      </c>
      <c r="SP23" s="17">
        <v>123.431</v>
      </c>
      <c r="SQ23" s="18">
        <f t="shared" si="525"/>
        <v>3.9683983748477085</v>
      </c>
      <c r="SR23" s="17">
        <v>116.753</v>
      </c>
      <c r="SS23" s="18">
        <f t="shared" si="526"/>
        <v>3.7536957122489043</v>
      </c>
      <c r="ST23" s="17">
        <v>117.367</v>
      </c>
      <c r="SU23" s="18">
        <f t="shared" si="527"/>
        <v>3.7734362685285792</v>
      </c>
      <c r="SV23" s="17">
        <v>121.593</v>
      </c>
      <c r="SW23" s="18">
        <f t="shared" si="528"/>
        <v>3.9093053089811916</v>
      </c>
      <c r="SX23" s="17">
        <v>138.191</v>
      </c>
      <c r="SY23" s="18">
        <f t="shared" si="529"/>
        <v>4.4429433433949308</v>
      </c>
      <c r="SZ23" s="17">
        <v>101.125</v>
      </c>
      <c r="TA23" s="18">
        <f t="shared" si="530"/>
        <v>3.2512438986678753</v>
      </c>
      <c r="TB23" s="17">
        <v>116.03100000000001</v>
      </c>
      <c r="TC23" s="18">
        <f t="shared" si="531"/>
        <v>3.7304828757115676</v>
      </c>
      <c r="TD23" s="17">
        <v>89.911000000000001</v>
      </c>
      <c r="TE23" s="18">
        <f t="shared" si="532"/>
        <v>2.8907054652472421</v>
      </c>
      <c r="TF23" s="17">
        <v>154.614</v>
      </c>
      <c r="TG23" s="18">
        <f t="shared" si="533"/>
        <v>4.9709549977615319</v>
      </c>
      <c r="TH23" s="17">
        <v>129.11099999999999</v>
      </c>
      <c r="TI23" s="18">
        <f t="shared" si="534"/>
        <v>4.1510145958062594</v>
      </c>
      <c r="TJ23" s="17">
        <v>83.742000000000004</v>
      </c>
      <c r="TK23" s="18">
        <f t="shared" si="535"/>
        <v>2.6923675308998294</v>
      </c>
      <c r="TL23" s="17">
        <v>124.926</v>
      </c>
      <c r="TM23" s="18">
        <f t="shared" si="536"/>
        <v>4.0164637358218345</v>
      </c>
      <c r="TN23" s="17">
        <v>158.81100000000001</v>
      </c>
      <c r="TO23" s="18">
        <f t="shared" si="537"/>
        <v>5.1058916666634762</v>
      </c>
      <c r="TP23" s="17">
        <v>110.241</v>
      </c>
      <c r="TQ23" s="18">
        <f t="shared" si="538"/>
        <v>3.5443300730091001</v>
      </c>
      <c r="TR23" s="17">
        <v>125.408</v>
      </c>
      <c r="TS23" s="18">
        <f t="shared" si="539"/>
        <v>4.0319603940088102</v>
      </c>
      <c r="TT23" s="17">
        <v>118.30200000000001</v>
      </c>
      <c r="TU23" s="2">
        <f t="shared" si="540"/>
        <v>3.8034972133518616</v>
      </c>
      <c r="TV23" s="17"/>
      <c r="TW23" s="18">
        <f t="shared" si="541"/>
        <v>0</v>
      </c>
      <c r="TX23" s="17"/>
      <c r="TY23" s="18">
        <f t="shared" si="542"/>
        <v>0</v>
      </c>
      <c r="TZ23" s="17"/>
      <c r="UA23" s="2">
        <f t="shared" si="543"/>
        <v>0</v>
      </c>
      <c r="UB23" s="17"/>
      <c r="UC23" s="18">
        <f t="shared" si="544"/>
        <v>0</v>
      </c>
      <c r="UD23" s="17"/>
      <c r="UE23" s="18">
        <f t="shared" si="545"/>
        <v>0</v>
      </c>
      <c r="UF23" s="17"/>
      <c r="UG23" s="2">
        <f t="shared" si="546"/>
        <v>0</v>
      </c>
      <c r="UH23" s="17"/>
      <c r="UI23" s="18">
        <f t="shared" si="547"/>
        <v>0</v>
      </c>
      <c r="UJ23" s="17"/>
      <c r="UK23" s="18">
        <f t="shared" si="548"/>
        <v>0</v>
      </c>
      <c r="UL23" s="17"/>
      <c r="UM23" s="2">
        <f t="shared" si="549"/>
        <v>0</v>
      </c>
      <c r="UN23" s="17"/>
      <c r="UO23" s="18">
        <f t="shared" si="550"/>
        <v>0</v>
      </c>
      <c r="UP23" s="17"/>
      <c r="UQ23" s="18">
        <f t="shared" si="551"/>
        <v>0</v>
      </c>
      <c r="UR23" s="17"/>
      <c r="US23" s="2">
        <f t="shared" si="552"/>
        <v>0</v>
      </c>
      <c r="UT23" s="17"/>
      <c r="UU23" s="18">
        <f t="shared" si="553"/>
        <v>0</v>
      </c>
      <c r="UV23" s="17"/>
      <c r="UW23" s="18">
        <f t="shared" si="554"/>
        <v>0</v>
      </c>
      <c r="UX23" s="17"/>
      <c r="UY23" s="2">
        <f t="shared" si="555"/>
        <v>0</v>
      </c>
    </row>
    <row r="24" spans="2:587" x14ac:dyDescent="0.2">
      <c r="B24" s="44"/>
      <c r="C24" s="23" t="s">
        <v>10</v>
      </c>
      <c r="D24" s="17">
        <v>1.028</v>
      </c>
      <c r="E24" s="17">
        <v>3.3000000000000002E-2</v>
      </c>
      <c r="F24" s="17">
        <v>1.073</v>
      </c>
      <c r="G24" s="17">
        <v>3.5000000000000003E-2</v>
      </c>
      <c r="H24" s="17">
        <v>1.0640000000000001</v>
      </c>
      <c r="I24" s="18">
        <f t="shared" si="377"/>
        <v>3.4208390686601926E-2</v>
      </c>
      <c r="J24" s="17">
        <v>1.1040000000000001</v>
      </c>
      <c r="K24" s="18">
        <f t="shared" si="377"/>
        <v>3.5494420411662148E-2</v>
      </c>
      <c r="L24" s="17">
        <v>1.028</v>
      </c>
      <c r="M24" s="18">
        <f>L24/31.10348013</f>
        <v>3.3050963934047724E-2</v>
      </c>
      <c r="N24" s="17">
        <v>1.054</v>
      </c>
      <c r="O24" s="18">
        <f>N24/31.10348013</f>
        <v>3.3886883255336869E-2</v>
      </c>
      <c r="P24" s="17">
        <v>1.079</v>
      </c>
      <c r="Q24" s="18">
        <f>P24/31.10348013</f>
        <v>3.4690651833499501E-2</v>
      </c>
      <c r="R24" s="17">
        <v>1.1519999999999999</v>
      </c>
      <c r="S24" s="18">
        <f>R24/31.10348013</f>
        <v>3.7037656081734413E-2</v>
      </c>
      <c r="T24" s="17">
        <v>1.085</v>
      </c>
      <c r="U24" s="18">
        <f>T24/31.10348013</f>
        <v>3.488355629225854E-2</v>
      </c>
      <c r="V24" s="17">
        <v>1.145</v>
      </c>
      <c r="W24" s="18">
        <f>V24/31.10348013</f>
        <v>3.6812600879848875E-2</v>
      </c>
      <c r="X24" s="17">
        <v>1.0880000000000001</v>
      </c>
      <c r="Y24" s="18">
        <f>X24/31.10348013</f>
        <v>3.4980008521638059E-2</v>
      </c>
      <c r="Z24" s="17">
        <v>1.1519999999999999</v>
      </c>
      <c r="AA24" s="18">
        <f>Z24/31.10348013</f>
        <v>3.7037656081734413E-2</v>
      </c>
      <c r="AB24" s="17">
        <v>1.032</v>
      </c>
      <c r="AC24" s="18">
        <f>AB24/31.10348013</f>
        <v>3.3179566906553742E-2</v>
      </c>
      <c r="AD24" s="17">
        <v>1.016</v>
      </c>
      <c r="AE24" s="18">
        <f>AD24/31.10348013</f>
        <v>3.2665155016529654E-2</v>
      </c>
      <c r="AF24" s="17">
        <v>1.036</v>
      </c>
      <c r="AG24" s="18">
        <f>AF24/31.10348013</f>
        <v>3.3308169879059768E-2</v>
      </c>
      <c r="AH24" s="17">
        <v>1.147</v>
      </c>
      <c r="AI24" s="18">
        <f>AH24/31.10348013</f>
        <v>3.6876902366101888E-2</v>
      </c>
      <c r="AJ24" s="17">
        <v>1.1559999999999999</v>
      </c>
      <c r="AK24" s="18">
        <f>AJ24/31.10348013</f>
        <v>3.7166259054240432E-2</v>
      </c>
      <c r="AL24" s="17">
        <v>1.0640000000000001</v>
      </c>
      <c r="AM24" s="18">
        <f>AL24/31.10348013</f>
        <v>3.4208390686601926E-2</v>
      </c>
      <c r="AN24" s="17">
        <v>1.0720000000000001</v>
      </c>
      <c r="AO24" s="18">
        <f>AN24/31.10348013</f>
        <v>3.4465596631613971E-2</v>
      </c>
      <c r="AP24" s="17">
        <v>1.0649999999999999</v>
      </c>
      <c r="AQ24" s="18">
        <f>AP24/31.10348013</f>
        <v>3.4240541429728426E-2</v>
      </c>
      <c r="AR24" s="17">
        <v>0.97299999999999998</v>
      </c>
      <c r="AS24" s="18">
        <f>AR24/31.10348013</f>
        <v>3.1282673062089913E-2</v>
      </c>
      <c r="AT24" s="18">
        <v>1.0620000000000001</v>
      </c>
      <c r="AU24" s="18">
        <f>AT24/31.10348013</f>
        <v>3.4144089200348914E-2</v>
      </c>
      <c r="AV24" s="18">
        <v>1.0189999999999999</v>
      </c>
      <c r="AW24" s="18">
        <f>AV24/31.10348013</f>
        <v>3.2761607245909166E-2</v>
      </c>
      <c r="AX24" s="18">
        <v>1.012</v>
      </c>
      <c r="AY24" s="18">
        <f>AX24/31.10348013</f>
        <v>3.2536552044023635E-2</v>
      </c>
      <c r="AZ24" s="18">
        <v>1.052</v>
      </c>
      <c r="BA24" s="18">
        <f>AZ24/31.10348013</f>
        <v>3.3822581769083856E-2</v>
      </c>
      <c r="BB24" s="17">
        <v>1.0369999999999999</v>
      </c>
      <c r="BC24" s="18">
        <f>BB24/31.10348013</f>
        <v>3.3340320622186267E-2</v>
      </c>
      <c r="BD24" s="17">
        <v>1.117</v>
      </c>
      <c r="BE24" s="18">
        <f>BD24/31.10348013</f>
        <v>3.5912380072306717E-2</v>
      </c>
      <c r="BF24" s="18">
        <v>1.034</v>
      </c>
      <c r="BG24" s="18">
        <f>BF24/31.10348013</f>
        <v>3.3243868392806755E-2</v>
      </c>
      <c r="BH24" s="17">
        <v>1.0529999999999999</v>
      </c>
      <c r="BI24" s="18">
        <f>BH24/31.10348013</f>
        <v>3.3854732512210356E-2</v>
      </c>
      <c r="BJ24" s="17">
        <v>1.0209999999999999</v>
      </c>
      <c r="BK24" s="18">
        <f>BJ24/31.10348013</f>
        <v>3.2825908732162179E-2</v>
      </c>
      <c r="BL24" s="17">
        <v>1.0249999999999999</v>
      </c>
      <c r="BM24" s="18">
        <f>BL24/31.10348013</f>
        <v>3.2954511704668205E-2</v>
      </c>
      <c r="BN24" s="17">
        <v>1.008</v>
      </c>
      <c r="BO24" s="18">
        <f>BN24/31.10348013</f>
        <v>3.240794907151761E-2</v>
      </c>
      <c r="BP24" s="17">
        <v>1.0229999999999999</v>
      </c>
      <c r="BQ24" s="18">
        <f>BP24/31.10348013</f>
        <v>3.2890210218415192E-2</v>
      </c>
      <c r="BR24" s="17">
        <v>1.014</v>
      </c>
      <c r="BS24" s="18">
        <f>BR24/31.10348013</f>
        <v>3.2600853530276648E-2</v>
      </c>
      <c r="BT24" s="17">
        <v>1.008</v>
      </c>
      <c r="BU24" s="18">
        <f>BT24/31.10348013</f>
        <v>3.240794907151761E-2</v>
      </c>
      <c r="BV24" s="17">
        <v>1.034</v>
      </c>
      <c r="BW24" s="18">
        <f>BV24/31.10348013</f>
        <v>3.3243868392806755E-2</v>
      </c>
      <c r="BX24" s="17">
        <v>1.052</v>
      </c>
      <c r="BY24" s="18">
        <f>BX24/31.10348013</f>
        <v>3.3822581769083856E-2</v>
      </c>
      <c r="BZ24" s="17">
        <v>1.046</v>
      </c>
      <c r="CA24" s="18">
        <f>BZ24/31.10348013</f>
        <v>3.3629677310324825E-2</v>
      </c>
      <c r="CB24" s="17">
        <v>1.016</v>
      </c>
      <c r="CC24" s="18">
        <f>CB24/31.10348013</f>
        <v>3.2665155016529654E-2</v>
      </c>
      <c r="CD24" s="17">
        <v>1.0009999999999999</v>
      </c>
      <c r="CE24" s="18">
        <f>CD24/31.10348013</f>
        <v>3.2182893869632072E-2</v>
      </c>
      <c r="CF24" s="17">
        <v>0.99099999999999999</v>
      </c>
      <c r="CG24" s="18">
        <f>CF24/31.10348013</f>
        <v>3.1861386438367015E-2</v>
      </c>
      <c r="CH24" s="17">
        <v>0.94299999999999995</v>
      </c>
      <c r="CI24" s="18">
        <f>CH24/31.10348013</f>
        <v>3.0318150768294746E-2</v>
      </c>
      <c r="CJ24" s="17">
        <v>1.0349999999999999</v>
      </c>
      <c r="CK24" s="18">
        <f>CJ24/31.10348013</f>
        <v>3.3276019135933262E-2</v>
      </c>
      <c r="CL24" s="17">
        <v>1.0489999999999999</v>
      </c>
      <c r="CM24" s="18">
        <f>CL24/31.10348013</f>
        <v>3.3726129539704337E-2</v>
      </c>
      <c r="CN24" s="17">
        <v>1.0289999999999999</v>
      </c>
      <c r="CO24" s="18">
        <f>CN24/31.10348013</f>
        <v>3.3083114677174223E-2</v>
      </c>
      <c r="CP24" s="17">
        <v>1.02</v>
      </c>
      <c r="CQ24" s="18">
        <f>CP24/31.10348013</f>
        <v>3.279375798903568E-2</v>
      </c>
      <c r="CR24" s="17">
        <v>1.083</v>
      </c>
      <c r="CS24" s="18">
        <f>CR24/31.10348013</f>
        <v>3.4819254806005527E-2</v>
      </c>
      <c r="CT24" s="17">
        <v>1.0309999999999999</v>
      </c>
      <c r="CU24" s="18">
        <f>CT24/31.10348013</f>
        <v>3.3147416163427236E-2</v>
      </c>
      <c r="CV24" s="17"/>
      <c r="CW24" s="17"/>
      <c r="CX24" s="17"/>
      <c r="CY24" s="17"/>
      <c r="CZ24" s="17"/>
      <c r="DA24" s="17"/>
      <c r="DB24" s="17"/>
      <c r="DC24" s="17"/>
      <c r="DD24" s="17"/>
      <c r="DE24" s="17"/>
      <c r="DF24" s="17"/>
      <c r="DG24" s="17"/>
      <c r="DH24" s="17"/>
      <c r="DI24" s="17"/>
      <c r="DJ24" s="17"/>
      <c r="DK24" s="17"/>
      <c r="DL24" s="17"/>
      <c r="DM24" s="17"/>
      <c r="DN24" s="17"/>
      <c r="DO24" s="17"/>
      <c r="DP24" s="17"/>
      <c r="DQ24" s="17"/>
      <c r="DR24" s="17"/>
      <c r="DS24" s="17"/>
      <c r="DT24" s="17"/>
      <c r="DU24" s="17"/>
      <c r="DV24" s="17">
        <v>0.93600000000000005</v>
      </c>
      <c r="DW24" s="18">
        <f>DV24/31.10348013</f>
        <v>3.0093095566409211E-2</v>
      </c>
      <c r="DX24" s="17">
        <v>0.92700000000000005</v>
      </c>
      <c r="DY24" s="18">
        <f>DX24/31.10348013</f>
        <v>2.9803738878270661E-2</v>
      </c>
      <c r="DZ24" s="17">
        <v>0.91700000000000004</v>
      </c>
      <c r="EA24" s="18">
        <f>DZ24/31.10348013</f>
        <v>2.9482231447005607E-2</v>
      </c>
      <c r="EB24" s="17">
        <v>0.95499999999999996</v>
      </c>
      <c r="EC24" s="18">
        <f>EB24/31.10348013</f>
        <v>3.0703959685812816E-2</v>
      </c>
      <c r="ED24" s="17">
        <v>1.0149999999999999</v>
      </c>
      <c r="EE24" s="18">
        <f>ED24/31.10348013</f>
        <v>3.2633004273403148E-2</v>
      </c>
      <c r="EF24" s="17">
        <v>1.038</v>
      </c>
      <c r="EG24" s="18">
        <f>EF24/31.10348013</f>
        <v>3.3372471365312781E-2</v>
      </c>
      <c r="EH24" s="17">
        <v>1.0569999999999999</v>
      </c>
      <c r="EI24" s="18">
        <f>EH24/31.10348013</f>
        <v>3.3983335484716382E-2</v>
      </c>
      <c r="EJ24" s="17">
        <v>1.056</v>
      </c>
      <c r="EK24" s="18">
        <f>EJ24/31.10348013</f>
        <v>3.3951184741589882E-2</v>
      </c>
      <c r="EL24" s="17">
        <v>1.0449999999999999</v>
      </c>
      <c r="EM24" s="18">
        <f>EL24/31.10348013</f>
        <v>3.3597526567198312E-2</v>
      </c>
      <c r="EN24" s="17">
        <v>1.04</v>
      </c>
      <c r="EO24" s="18">
        <f>EN24/31.10348013</f>
        <v>3.3436772851565794E-2</v>
      </c>
      <c r="EP24" s="17">
        <v>1.0329999999999999</v>
      </c>
      <c r="EQ24" s="18">
        <f>EP24/31.10348013</f>
        <v>3.3211717649680249E-2</v>
      </c>
      <c r="ER24" s="17">
        <v>1.052</v>
      </c>
      <c r="ES24" s="18">
        <f>ER24/31.10348013</f>
        <v>3.3822581769083856E-2</v>
      </c>
      <c r="ET24" s="17">
        <v>1.01</v>
      </c>
      <c r="EU24" s="18">
        <f>ET24/31.10348013</f>
        <v>3.2472250557770622E-2</v>
      </c>
      <c r="EV24" s="17">
        <v>1.0249999999999999</v>
      </c>
      <c r="EW24" s="18">
        <f>EV24/31.10348013</f>
        <v>3.2954511704668205E-2</v>
      </c>
      <c r="EX24" s="17">
        <v>1.0549999999999999</v>
      </c>
      <c r="EY24" s="18">
        <f>EX24/31.10348013</f>
        <v>3.3919033998463369E-2</v>
      </c>
      <c r="EZ24" s="17">
        <v>1.0349999999999999</v>
      </c>
      <c r="FA24" s="18">
        <f>EZ24/31.10348013</f>
        <v>3.3276019135933262E-2</v>
      </c>
      <c r="FB24" s="17">
        <v>1.054</v>
      </c>
      <c r="FC24" s="18">
        <f>FB24/31.10348013</f>
        <v>3.3886883255336869E-2</v>
      </c>
      <c r="FD24" s="17">
        <v>0.98499999999999999</v>
      </c>
      <c r="FE24" s="18">
        <f>FD24/31.10348013</f>
        <v>3.1668481979607983E-2</v>
      </c>
      <c r="FF24" s="17">
        <v>1.024</v>
      </c>
      <c r="FG24" s="18">
        <f>FF24/31.10348013</f>
        <v>3.2922360961541698E-2</v>
      </c>
      <c r="FH24" s="17">
        <v>1.0309999999999999</v>
      </c>
      <c r="FI24" s="18">
        <f>FH24/31.10348013</f>
        <v>3.3147416163427236E-2</v>
      </c>
      <c r="FJ24" s="17">
        <v>1.107</v>
      </c>
      <c r="FK24" s="18">
        <f>FJ24/31.10348013</f>
        <v>3.559087264104166E-2</v>
      </c>
      <c r="FL24" s="17">
        <v>1.109</v>
      </c>
      <c r="FM24" s="18">
        <f>FL24/31.10348013</f>
        <v>3.5655174127294673E-2</v>
      </c>
      <c r="FN24" s="17">
        <v>1.099</v>
      </c>
      <c r="FO24" s="18">
        <f>FN24/31.10348013</f>
        <v>3.5333666696029616E-2</v>
      </c>
      <c r="FP24" s="17">
        <v>1.0229999999999999</v>
      </c>
      <c r="FQ24" s="18">
        <f>FP24/31.10348013</f>
        <v>3.2890210218415192E-2</v>
      </c>
      <c r="FR24" s="17">
        <v>1.0329999999999999</v>
      </c>
      <c r="FS24" s="18">
        <f>FR24/31.10348013</f>
        <v>3.3211717649680249E-2</v>
      </c>
      <c r="FT24" s="17">
        <v>1.0820000000000001</v>
      </c>
      <c r="FU24" s="18">
        <f>FT24/31.10348013</f>
        <v>3.4787104062879028E-2</v>
      </c>
      <c r="FV24" s="17">
        <v>1.0629999999999999</v>
      </c>
      <c r="FW24" s="18">
        <f>FV24/31.10348013</f>
        <v>3.4176239943475413E-2</v>
      </c>
      <c r="FX24" s="17">
        <v>1.0720000000000001</v>
      </c>
      <c r="FY24" s="18">
        <f>FX24/31.10348013</f>
        <v>3.4465596631613971E-2</v>
      </c>
      <c r="FZ24" s="17">
        <v>1.1479999999999999</v>
      </c>
      <c r="GA24" s="18">
        <f>FZ24/31.10348013</f>
        <v>3.6909053109228387E-2</v>
      </c>
      <c r="GB24" s="17">
        <v>1.022</v>
      </c>
      <c r="GC24" s="18">
        <f>GB24/31.10348013</f>
        <v>3.2858059475288692E-2</v>
      </c>
      <c r="GD24" s="17">
        <v>1.131</v>
      </c>
      <c r="GE24" s="18">
        <f>GD24/31.10348013</f>
        <v>3.6362490476077793E-2</v>
      </c>
      <c r="GF24" s="17">
        <v>1.0309999999999999</v>
      </c>
      <c r="GG24" s="18">
        <f>GF24/31.10348013</f>
        <v>3.3147416163427236E-2</v>
      </c>
      <c r="GH24" s="17">
        <v>1.04</v>
      </c>
      <c r="GI24" s="18">
        <f>GH24/31.10348013</f>
        <v>3.3436772851565794E-2</v>
      </c>
      <c r="GJ24" s="17">
        <v>1.073</v>
      </c>
      <c r="GK24" s="18">
        <f>GJ24/31.10348013</f>
        <v>3.449774737474047E-2</v>
      </c>
      <c r="GL24" s="17">
        <v>1.1140000000000001</v>
      </c>
      <c r="GM24" s="18">
        <f>GL24/31.10348013</f>
        <v>3.5815927842927205E-2</v>
      </c>
      <c r="GN24" s="17">
        <v>1.0620000000000001</v>
      </c>
      <c r="GO24" s="18">
        <f>GN24/31.10348013</f>
        <v>3.4144089200348914E-2</v>
      </c>
      <c r="GP24" s="17">
        <v>1.008</v>
      </c>
      <c r="GQ24" s="18">
        <f>GP24/31.10348013</f>
        <v>3.240794907151761E-2</v>
      </c>
      <c r="GR24" s="17">
        <v>1.026</v>
      </c>
      <c r="GS24" s="18">
        <f>GR24/31.10348013</f>
        <v>3.2986662447794711E-2</v>
      </c>
      <c r="GT24" s="17">
        <v>0.85499999999999998</v>
      </c>
      <c r="GU24" s="18">
        <f>GT24/31.10348013</f>
        <v>2.7488885373162259E-2</v>
      </c>
      <c r="GV24" s="17">
        <v>1.012</v>
      </c>
      <c r="GW24" s="18">
        <f>GV24/31.10348013</f>
        <v>3.2536552044023635E-2</v>
      </c>
      <c r="GX24" s="17">
        <v>1.075</v>
      </c>
      <c r="GY24" s="18">
        <f>GX24/31.10348013</f>
        <v>3.4562048860993483E-2</v>
      </c>
      <c r="GZ24" s="17">
        <v>1.0429999999999999</v>
      </c>
      <c r="HA24" s="18">
        <f>GZ24/31.10348013</f>
        <v>3.3533225080945306E-2</v>
      </c>
      <c r="HB24" s="17">
        <v>1.024</v>
      </c>
      <c r="HC24" s="18">
        <f>HB24/31.10348013</f>
        <v>3.2922360961541698E-2</v>
      </c>
      <c r="HD24" s="17">
        <v>1.1140000000000001</v>
      </c>
      <c r="HE24" s="18">
        <f>HD24/31.10348013</f>
        <v>3.5815927842927205E-2</v>
      </c>
      <c r="HF24" s="17">
        <v>1.0649999999999999</v>
      </c>
      <c r="HG24" s="18">
        <f>HF24/31.10348013</f>
        <v>3.4240541429728426E-2</v>
      </c>
      <c r="HH24" s="17">
        <v>0.98499999999999999</v>
      </c>
      <c r="HI24" s="18">
        <f>HH24/31.10348013</f>
        <v>3.1668481979607983E-2</v>
      </c>
      <c r="HJ24" s="17">
        <v>1.01</v>
      </c>
      <c r="HK24" s="18">
        <f>HJ24/31.10348013</f>
        <v>3.2472250557770622E-2</v>
      </c>
      <c r="HL24" s="17">
        <v>1.0369999999999999</v>
      </c>
      <c r="HM24" s="18">
        <f t="shared" si="380"/>
        <v>3.3340320622186267E-2</v>
      </c>
      <c r="HN24" s="17">
        <v>1.091</v>
      </c>
      <c r="HO24" s="18">
        <f t="shared" si="381"/>
        <v>3.5076460751017571E-2</v>
      </c>
      <c r="HP24" s="17">
        <v>1.0820000000000001</v>
      </c>
      <c r="HQ24" s="18">
        <f t="shared" si="382"/>
        <v>3.4787104062879028E-2</v>
      </c>
      <c r="HR24" s="17">
        <v>1.036</v>
      </c>
      <c r="HS24" s="18">
        <f t="shared" si="383"/>
        <v>3.3308169879059768E-2</v>
      </c>
      <c r="HT24" s="17">
        <v>1.006</v>
      </c>
      <c r="HU24" s="18">
        <f t="shared" si="384"/>
        <v>3.2343647585264597E-2</v>
      </c>
      <c r="HV24" s="17">
        <v>1.014</v>
      </c>
      <c r="HW24" s="18">
        <f t="shared" si="385"/>
        <v>3.2600853530276648E-2</v>
      </c>
      <c r="HX24" s="17">
        <v>1.028</v>
      </c>
      <c r="HY24" s="18">
        <f t="shared" si="386"/>
        <v>3.3050963934047724E-2</v>
      </c>
      <c r="HZ24" s="17">
        <v>1.056</v>
      </c>
      <c r="IA24" s="18">
        <f t="shared" si="387"/>
        <v>3.3951184741589882E-2</v>
      </c>
      <c r="IB24" s="17">
        <v>1.04</v>
      </c>
      <c r="IC24" s="18">
        <f t="shared" si="388"/>
        <v>3.3436772851565794E-2</v>
      </c>
      <c r="ID24" s="17">
        <v>1.0369999999999999</v>
      </c>
      <c r="IE24" s="18">
        <f t="shared" si="389"/>
        <v>3.3340320622186267E-2</v>
      </c>
      <c r="IF24" s="17">
        <v>1.028</v>
      </c>
      <c r="IG24" s="18">
        <f t="shared" si="390"/>
        <v>3.3050963934047724E-2</v>
      </c>
      <c r="IH24" s="17">
        <v>1.0209999999999999</v>
      </c>
      <c r="II24" s="18">
        <f t="shared" si="391"/>
        <v>3.2825908732162179E-2</v>
      </c>
      <c r="IJ24" s="17">
        <v>1.018</v>
      </c>
      <c r="IK24" s="18">
        <f t="shared" si="392"/>
        <v>3.2729456502782667E-2</v>
      </c>
      <c r="IL24" s="17">
        <v>0.872</v>
      </c>
      <c r="IM24" s="18">
        <f t="shared" si="393"/>
        <v>2.8035448006312854E-2</v>
      </c>
      <c r="IN24" s="17">
        <v>1.0509999999999999</v>
      </c>
      <c r="IO24" s="18">
        <f t="shared" si="394"/>
        <v>3.379043102595735E-2</v>
      </c>
      <c r="IP24" s="17">
        <v>1.016</v>
      </c>
      <c r="IQ24" s="18">
        <f t="shared" si="395"/>
        <v>3.2665155016529654E-2</v>
      </c>
      <c r="IR24" s="17">
        <v>1.0449999999999999</v>
      </c>
      <c r="IS24" s="18">
        <f t="shared" si="396"/>
        <v>3.3597526567198312E-2</v>
      </c>
      <c r="IT24" s="17">
        <v>1.0169999999999999</v>
      </c>
      <c r="IU24" s="18">
        <f t="shared" si="397"/>
        <v>3.269730575965616E-2</v>
      </c>
      <c r="IV24" s="17">
        <v>0.94599999999999995</v>
      </c>
      <c r="IW24" s="18">
        <f t="shared" si="398"/>
        <v>3.0414602997674265E-2</v>
      </c>
      <c r="IX24" s="17">
        <v>1.048</v>
      </c>
      <c r="IY24" s="18">
        <f t="shared" si="399"/>
        <v>3.3693978796577838E-2</v>
      </c>
      <c r="IZ24" s="17">
        <v>1.054</v>
      </c>
      <c r="JA24" s="18">
        <f t="shared" si="400"/>
        <v>3.3886883255336869E-2</v>
      </c>
      <c r="JB24" s="17">
        <v>1.03</v>
      </c>
      <c r="JC24" s="18">
        <f t="shared" si="401"/>
        <v>3.3115265420300737E-2</v>
      </c>
      <c r="JD24" s="17">
        <v>1.0640000000000001</v>
      </c>
      <c r="JE24" s="18">
        <f t="shared" si="402"/>
        <v>3.4208390686601926E-2</v>
      </c>
      <c r="JF24" s="17">
        <v>1.044</v>
      </c>
      <c r="JG24" s="18">
        <f t="shared" si="403"/>
        <v>3.3565375824071812E-2</v>
      </c>
      <c r="JH24" s="17">
        <v>1.0589999999999999</v>
      </c>
      <c r="JI24" s="18">
        <f t="shared" si="404"/>
        <v>3.4047636970969394E-2</v>
      </c>
      <c r="JJ24" s="17">
        <v>1.0509999999999999</v>
      </c>
      <c r="JK24" s="18">
        <f t="shared" si="405"/>
        <v>3.379043102595735E-2</v>
      </c>
      <c r="JL24" s="17">
        <v>1.016</v>
      </c>
      <c r="JM24" s="18">
        <f t="shared" si="406"/>
        <v>3.2665155016529654E-2</v>
      </c>
      <c r="JN24" s="17">
        <v>1.0309999999999999</v>
      </c>
      <c r="JO24" s="18">
        <f t="shared" si="407"/>
        <v>3.3147416163427236E-2</v>
      </c>
      <c r="JP24" s="17">
        <v>0.98399999999999999</v>
      </c>
      <c r="JQ24" s="18">
        <f t="shared" si="408"/>
        <v>3.1636331236481477E-2</v>
      </c>
      <c r="JR24" s="17">
        <v>1.0429999999999999</v>
      </c>
      <c r="JS24" s="18">
        <f t="shared" si="409"/>
        <v>3.3533225080945306E-2</v>
      </c>
      <c r="JT24" s="17">
        <v>1.0609999999999999</v>
      </c>
      <c r="JU24" s="18">
        <f t="shared" si="410"/>
        <v>3.4111938457222407E-2</v>
      </c>
      <c r="JV24" s="17">
        <v>1.04</v>
      </c>
      <c r="JW24" s="18">
        <f t="shared" si="411"/>
        <v>3.3436772851565794E-2</v>
      </c>
      <c r="JX24" s="17">
        <v>1.089</v>
      </c>
      <c r="JY24" s="18">
        <f t="shared" si="412"/>
        <v>3.5012159264764559E-2</v>
      </c>
      <c r="JZ24" s="17">
        <v>1.087</v>
      </c>
      <c r="KA24" s="18">
        <f t="shared" si="413"/>
        <v>3.4947857778511553E-2</v>
      </c>
      <c r="KB24" s="17">
        <v>1.0620000000000001</v>
      </c>
      <c r="KC24" s="18">
        <f t="shared" si="414"/>
        <v>3.4144089200348914E-2</v>
      </c>
      <c r="KD24" s="17">
        <v>1.0629999999999999</v>
      </c>
      <c r="KE24" s="18">
        <f t="shared" si="415"/>
        <v>3.4176239943475413E-2</v>
      </c>
      <c r="KF24" s="17">
        <v>1.022</v>
      </c>
      <c r="KG24" s="18">
        <f t="shared" si="416"/>
        <v>3.2858059475288692E-2</v>
      </c>
      <c r="KH24" s="17">
        <v>1.0469999999999999</v>
      </c>
      <c r="KI24" s="18">
        <f t="shared" si="417"/>
        <v>3.3661828053451325E-2</v>
      </c>
      <c r="KJ24" s="17">
        <v>1.044</v>
      </c>
      <c r="KK24" s="18">
        <f t="shared" si="418"/>
        <v>3.3565375824071812E-2</v>
      </c>
      <c r="KL24" s="17">
        <v>1.0609999999999999</v>
      </c>
      <c r="KM24" s="18">
        <f t="shared" si="419"/>
        <v>3.4111938457222407E-2</v>
      </c>
      <c r="KN24" s="17">
        <v>1.048</v>
      </c>
      <c r="KO24" s="18">
        <f t="shared" si="420"/>
        <v>3.3693978796577838E-2</v>
      </c>
      <c r="KP24" s="17">
        <v>1.075</v>
      </c>
      <c r="KQ24" s="18">
        <f t="shared" si="421"/>
        <v>3.4562048860993483E-2</v>
      </c>
      <c r="KR24" s="17">
        <v>1.0309999999999999</v>
      </c>
      <c r="KS24" s="18">
        <f t="shared" si="422"/>
        <v>3.3147416163427236E-2</v>
      </c>
      <c r="KT24" s="17">
        <v>1.0780000000000001</v>
      </c>
      <c r="KU24" s="18">
        <f t="shared" si="423"/>
        <v>3.4658501090373002E-2</v>
      </c>
      <c r="KV24" s="17">
        <v>1.022</v>
      </c>
      <c r="KW24" s="18">
        <f t="shared" si="424"/>
        <v>3.2858059475288692E-2</v>
      </c>
      <c r="KX24" s="17">
        <v>1.0269999999999999</v>
      </c>
      <c r="KY24" s="18">
        <f t="shared" si="425"/>
        <v>3.301881319092121E-2</v>
      </c>
      <c r="KZ24" s="17">
        <v>1.0960000000000001</v>
      </c>
      <c r="LA24" s="18">
        <f t="shared" si="426"/>
        <v>3.5237214466650103E-2</v>
      </c>
      <c r="LB24" s="17">
        <v>0.94199999999999995</v>
      </c>
      <c r="LC24" s="18">
        <f t="shared" si="427"/>
        <v>3.0286000025168243E-2</v>
      </c>
      <c r="LD24" s="18">
        <v>1.01</v>
      </c>
      <c r="LE24" s="18">
        <f t="shared" si="428"/>
        <v>3.2472250557770622E-2</v>
      </c>
      <c r="LF24" s="17">
        <v>1.046</v>
      </c>
      <c r="LG24" s="18">
        <f t="shared" si="429"/>
        <v>3.3629677310324825E-2</v>
      </c>
      <c r="LH24" s="17">
        <v>1.0249999999999999</v>
      </c>
      <c r="LI24" s="18">
        <f t="shared" si="430"/>
        <v>3.2954511704668205E-2</v>
      </c>
      <c r="LJ24" s="17">
        <v>1.0389999999999999</v>
      </c>
      <c r="LK24" s="18">
        <f t="shared" si="431"/>
        <v>3.340462210843928E-2</v>
      </c>
      <c r="LL24" s="18">
        <v>1.03</v>
      </c>
      <c r="LM24" s="18">
        <f t="shared" si="432"/>
        <v>3.3115265420300737E-2</v>
      </c>
      <c r="LN24" s="17">
        <v>1.071</v>
      </c>
      <c r="LO24" s="18">
        <f t="shared" si="433"/>
        <v>3.4433445888487457E-2</v>
      </c>
      <c r="LP24" s="17">
        <v>1.087</v>
      </c>
      <c r="LQ24" s="18">
        <f t="shared" si="434"/>
        <v>3.4947857778511553E-2</v>
      </c>
      <c r="LR24" s="17">
        <v>1.0860000000000001</v>
      </c>
      <c r="LS24" s="18">
        <f t="shared" si="435"/>
        <v>3.4915707035385046E-2</v>
      </c>
      <c r="LT24" s="17">
        <v>1.1040000000000001</v>
      </c>
      <c r="LU24" s="18">
        <f t="shared" si="436"/>
        <v>3.5494420411662148E-2</v>
      </c>
      <c r="LV24" s="18">
        <v>1.02</v>
      </c>
      <c r="LW24" s="18">
        <f t="shared" si="437"/>
        <v>3.279375798903568E-2</v>
      </c>
      <c r="LX24" s="17">
        <v>1.012</v>
      </c>
      <c r="LY24" s="18">
        <f t="shared" si="438"/>
        <v>3.2536552044023635E-2</v>
      </c>
      <c r="LZ24" s="17">
        <v>0.98099999999999998</v>
      </c>
      <c r="MA24" s="18">
        <f t="shared" si="439"/>
        <v>3.1539879007101958E-2</v>
      </c>
      <c r="MB24" s="17">
        <v>1.028</v>
      </c>
      <c r="MC24" s="18">
        <f t="shared" si="440"/>
        <v>3.3050963934047724E-2</v>
      </c>
      <c r="MD24" s="17">
        <v>0.95</v>
      </c>
      <c r="ME24" s="18">
        <f t="shared" si="441"/>
        <v>3.0543205970180287E-2</v>
      </c>
      <c r="MF24" s="17">
        <v>1.016</v>
      </c>
      <c r="MG24" s="18">
        <f t="shared" si="442"/>
        <v>3.2665155016529654E-2</v>
      </c>
      <c r="MH24" s="17">
        <v>1.0640000000000001</v>
      </c>
      <c r="MI24" s="18">
        <f t="shared" si="443"/>
        <v>3.4208390686601926E-2</v>
      </c>
      <c r="MJ24" s="17">
        <v>1.0109999999999999</v>
      </c>
      <c r="MK24" s="18">
        <f t="shared" si="444"/>
        <v>3.2504401300897122E-2</v>
      </c>
      <c r="ML24" s="17">
        <v>0.99299999999999999</v>
      </c>
      <c r="MM24" s="18">
        <f t="shared" si="445"/>
        <v>3.1925687924620028E-2</v>
      </c>
      <c r="MN24" s="17">
        <v>1.0389999999999999</v>
      </c>
      <c r="MO24" s="18">
        <f t="shared" si="446"/>
        <v>3.340462210843928E-2</v>
      </c>
      <c r="MP24" s="17">
        <v>1.127</v>
      </c>
      <c r="MQ24" s="18">
        <f t="shared" si="447"/>
        <v>3.6233887503571774E-2</v>
      </c>
      <c r="MR24" s="17">
        <v>1.077</v>
      </c>
      <c r="MS24" s="18">
        <f t="shared" si="448"/>
        <v>3.4626350347246496E-2</v>
      </c>
      <c r="MT24" s="17">
        <v>1.08</v>
      </c>
      <c r="MU24" s="18">
        <f t="shared" si="449"/>
        <v>3.4722802576626015E-2</v>
      </c>
      <c r="MV24" s="17">
        <v>1.0840000000000001</v>
      </c>
      <c r="MW24" s="18">
        <f t="shared" si="450"/>
        <v>3.4851405549132033E-2</v>
      </c>
      <c r="MX24" s="17">
        <v>1.0109999999999999</v>
      </c>
      <c r="MY24" s="18">
        <f t="shared" si="451"/>
        <v>3.2504401300897122E-2</v>
      </c>
      <c r="MZ24" s="17">
        <v>1.069</v>
      </c>
      <c r="NA24" s="18">
        <f t="shared" si="452"/>
        <v>3.4369144402234451E-2</v>
      </c>
      <c r="NB24" s="17">
        <v>1.0169999999999999</v>
      </c>
      <c r="NC24" s="18">
        <f t="shared" si="453"/>
        <v>3.269730575965616E-2</v>
      </c>
      <c r="ND24" s="17">
        <v>1.083</v>
      </c>
      <c r="NE24" s="18">
        <f t="shared" si="454"/>
        <v>3.4819254806005527E-2</v>
      </c>
      <c r="NF24" s="17">
        <v>1.042</v>
      </c>
      <c r="NG24" s="18">
        <f t="shared" si="455"/>
        <v>3.3501074337818799E-2</v>
      </c>
      <c r="NH24" s="17">
        <v>1.022</v>
      </c>
      <c r="NI24" s="18">
        <f t="shared" si="456"/>
        <v>3.2858059475288692E-2</v>
      </c>
      <c r="NJ24" s="17">
        <v>1.0589999999999999</v>
      </c>
      <c r="NK24" s="18">
        <f t="shared" si="457"/>
        <v>3.4047636970969394E-2</v>
      </c>
      <c r="NL24" s="17">
        <v>1.04</v>
      </c>
      <c r="NM24" s="18">
        <f t="shared" si="458"/>
        <v>3.3436772851565794E-2</v>
      </c>
      <c r="NN24" s="17">
        <v>1.0389999999999999</v>
      </c>
      <c r="NO24" s="18">
        <f t="shared" si="459"/>
        <v>3.340462210843928E-2</v>
      </c>
      <c r="NP24" s="17">
        <v>1.042</v>
      </c>
      <c r="NQ24" s="18">
        <f t="shared" si="460"/>
        <v>3.3501074337818799E-2</v>
      </c>
      <c r="NR24" s="17">
        <v>1.0429999999999999</v>
      </c>
      <c r="NS24" s="18">
        <f t="shared" si="461"/>
        <v>3.3533225080945306E-2</v>
      </c>
      <c r="NT24" s="17">
        <v>0.96699999999999997</v>
      </c>
      <c r="NU24" s="18">
        <f t="shared" si="462"/>
        <v>3.1089768603330882E-2</v>
      </c>
      <c r="NV24" s="17">
        <v>1.04</v>
      </c>
      <c r="NW24" s="18">
        <f t="shared" si="463"/>
        <v>3.3436772851565794E-2</v>
      </c>
      <c r="NX24" s="17">
        <v>1.042</v>
      </c>
      <c r="NY24" s="18">
        <f t="shared" si="464"/>
        <v>3.3501074337818799E-2</v>
      </c>
      <c r="NZ24" s="17">
        <v>1.0229999999999999</v>
      </c>
      <c r="OA24" s="18">
        <f t="shared" si="465"/>
        <v>3.2890210218415192E-2</v>
      </c>
      <c r="OB24" s="17">
        <v>1.0249999999999999</v>
      </c>
      <c r="OC24" s="18">
        <f t="shared" si="466"/>
        <v>3.2954511704668205E-2</v>
      </c>
      <c r="OD24" s="17">
        <v>0.98</v>
      </c>
      <c r="OE24" s="18">
        <f t="shared" si="467"/>
        <v>3.1507728263975451E-2</v>
      </c>
      <c r="OF24" s="17">
        <v>1.022</v>
      </c>
      <c r="OG24" s="18">
        <f t="shared" si="468"/>
        <v>3.2858059475288692E-2</v>
      </c>
      <c r="OH24" s="17">
        <v>1.014</v>
      </c>
      <c r="OI24" s="18">
        <f t="shared" si="469"/>
        <v>3.2600853530276648E-2</v>
      </c>
      <c r="OJ24" s="17">
        <v>1.002</v>
      </c>
      <c r="OK24" s="18">
        <f t="shared" si="470"/>
        <v>3.2215044612758578E-2</v>
      </c>
      <c r="OL24" s="17">
        <v>1.0449999999999999</v>
      </c>
      <c r="OM24" s="18">
        <f t="shared" si="471"/>
        <v>3.3597526567198312E-2</v>
      </c>
      <c r="ON24" s="17">
        <v>1.0880000000000001</v>
      </c>
      <c r="OO24" s="18">
        <f t="shared" si="472"/>
        <v>3.4980008521638059E-2</v>
      </c>
      <c r="OP24" s="17">
        <v>1.073</v>
      </c>
      <c r="OQ24" s="18">
        <f t="shared" si="473"/>
        <v>3.449774737474047E-2</v>
      </c>
      <c r="OR24" s="17">
        <v>1.0840000000000001</v>
      </c>
      <c r="OS24" s="18">
        <f t="shared" si="474"/>
        <v>3.4851405549132033E-2</v>
      </c>
      <c r="OT24" s="17">
        <v>1.036</v>
      </c>
      <c r="OU24" s="18">
        <f t="shared" si="475"/>
        <v>3.3308169879059768E-2</v>
      </c>
      <c r="OV24" s="17">
        <v>1.0349999999999999</v>
      </c>
      <c r="OW24" s="18">
        <f t="shared" si="476"/>
        <v>3.3276019135933262E-2</v>
      </c>
      <c r="OX24" s="17">
        <v>1.0569999999999999</v>
      </c>
      <c r="OY24" s="18">
        <f t="shared" si="477"/>
        <v>3.3983335484716382E-2</v>
      </c>
      <c r="OZ24" s="17">
        <v>1.08</v>
      </c>
      <c r="PA24" s="18">
        <f t="shared" si="478"/>
        <v>3.4722802576626015E-2</v>
      </c>
      <c r="PB24" s="17">
        <v>1.02</v>
      </c>
      <c r="PC24" s="18">
        <f t="shared" si="479"/>
        <v>3.279375798903568E-2</v>
      </c>
      <c r="PD24" s="17">
        <v>1.032</v>
      </c>
      <c r="PE24" s="18">
        <f t="shared" si="480"/>
        <v>3.3179566906553742E-2</v>
      </c>
      <c r="PF24" s="17">
        <v>1.0389999999999999</v>
      </c>
      <c r="PG24" s="18">
        <f t="shared" si="481"/>
        <v>3.340462210843928E-2</v>
      </c>
      <c r="PH24" s="17">
        <v>1.085</v>
      </c>
      <c r="PI24" s="18">
        <f t="shared" si="482"/>
        <v>3.488355629225854E-2</v>
      </c>
      <c r="PJ24" s="17">
        <v>1.0680000000000001</v>
      </c>
      <c r="PK24" s="18">
        <f t="shared" si="483"/>
        <v>3.4336993659107945E-2</v>
      </c>
      <c r="PL24" s="17">
        <v>1.0649999999999999</v>
      </c>
      <c r="PM24" s="18">
        <f t="shared" si="484"/>
        <v>3.4240541429728426E-2</v>
      </c>
      <c r="PN24" s="17">
        <v>1.0389999999999999</v>
      </c>
      <c r="PO24" s="18">
        <f t="shared" si="485"/>
        <v>3.340462210843928E-2</v>
      </c>
      <c r="PP24" s="17">
        <v>1.0680000000000001</v>
      </c>
      <c r="PQ24" s="18">
        <f t="shared" si="486"/>
        <v>3.4336993659107945E-2</v>
      </c>
      <c r="PR24" s="17">
        <v>1.018</v>
      </c>
      <c r="PS24" s="18">
        <f t="shared" si="487"/>
        <v>3.2729456502782667E-2</v>
      </c>
      <c r="PT24" s="17">
        <v>0.98299999999999998</v>
      </c>
      <c r="PU24" s="18">
        <f t="shared" si="488"/>
        <v>3.1604180493354971E-2</v>
      </c>
      <c r="PV24" s="17">
        <v>1.0189999999999999</v>
      </c>
      <c r="PW24" s="18">
        <f t="shared" si="489"/>
        <v>3.2761607245909166E-2</v>
      </c>
      <c r="PX24" s="17">
        <v>0.89300000000000002</v>
      </c>
      <c r="PY24" s="18">
        <f t="shared" si="490"/>
        <v>2.8710613611969471E-2</v>
      </c>
      <c r="PZ24" s="17">
        <v>0.73799999999999999</v>
      </c>
      <c r="QA24" s="18">
        <f t="shared" si="491"/>
        <v>2.3727248427361108E-2</v>
      </c>
      <c r="QB24" s="17">
        <v>0.69099999999999995</v>
      </c>
      <c r="QC24" s="18">
        <f t="shared" si="492"/>
        <v>2.2216163500415345E-2</v>
      </c>
      <c r="QD24" s="17">
        <v>0.66800000000000004</v>
      </c>
      <c r="QE24" s="18">
        <f t="shared" si="493"/>
        <v>2.1476696408505719E-2</v>
      </c>
      <c r="QF24" s="17">
        <v>0.67400000000000004</v>
      </c>
      <c r="QG24" s="18">
        <f t="shared" si="494"/>
        <v>2.1669600867264754E-2</v>
      </c>
      <c r="QH24" s="17">
        <v>0.76100000000000001</v>
      </c>
      <c r="QI24" s="18">
        <f t="shared" si="495"/>
        <v>2.4466715519270738E-2</v>
      </c>
      <c r="QJ24" s="17">
        <v>0.84299999999999997</v>
      </c>
      <c r="QK24" s="18">
        <f t="shared" si="496"/>
        <v>2.7103076455644193E-2</v>
      </c>
      <c r="QL24" s="17">
        <v>0.75700000000000001</v>
      </c>
      <c r="QM24" s="18">
        <f t="shared" si="497"/>
        <v>2.4338112546764715E-2</v>
      </c>
      <c r="QN24" s="17">
        <v>0.73399999999999999</v>
      </c>
      <c r="QO24" s="18">
        <f t="shared" si="498"/>
        <v>2.3598645454855086E-2</v>
      </c>
      <c r="QP24" s="17">
        <v>0.57399999999999995</v>
      </c>
      <c r="QQ24" s="18">
        <f t="shared" si="499"/>
        <v>1.8454526554614194E-2</v>
      </c>
      <c r="QR24" s="17">
        <v>0.51400000000000001</v>
      </c>
      <c r="QS24" s="18">
        <f t="shared" si="500"/>
        <v>1.6525481967023862E-2</v>
      </c>
      <c r="QT24" s="17">
        <v>0.65100000000000002</v>
      </c>
      <c r="QU24" s="18">
        <f t="shared" si="501"/>
        <v>2.0930133775355124E-2</v>
      </c>
      <c r="QV24" s="17">
        <v>0.60899999999999999</v>
      </c>
      <c r="QW24" s="18">
        <f t="shared" si="502"/>
        <v>1.957980256404189E-2</v>
      </c>
      <c r="QX24" s="17">
        <v>0.58199999999999996</v>
      </c>
      <c r="QY24" s="18">
        <f t="shared" si="503"/>
        <v>1.8711732499626238E-2</v>
      </c>
      <c r="QZ24" s="17">
        <v>0.52</v>
      </c>
      <c r="RA24" s="18">
        <f t="shared" si="504"/>
        <v>1.6718386425782897E-2</v>
      </c>
      <c r="RB24" s="17">
        <v>0.60599999999999998</v>
      </c>
      <c r="RC24" s="18">
        <f t="shared" si="505"/>
        <v>1.9483350334662374E-2</v>
      </c>
      <c r="RD24" s="18">
        <v>0.51</v>
      </c>
      <c r="RE24" s="18">
        <f t="shared" si="506"/>
        <v>1.639687899451784E-2</v>
      </c>
      <c r="RF24" s="17">
        <v>0.51300000000000001</v>
      </c>
      <c r="RG24" s="18">
        <f t="shared" si="507"/>
        <v>1.6493331223897355E-2</v>
      </c>
      <c r="RH24" s="18">
        <v>0.64</v>
      </c>
      <c r="RI24" s="18">
        <f t="shared" si="508"/>
        <v>2.0576475600963564E-2</v>
      </c>
      <c r="RJ24" s="18">
        <v>0.67100000000000004</v>
      </c>
      <c r="RK24" s="18">
        <f t="shared" si="509"/>
        <v>2.1573148637885238E-2</v>
      </c>
      <c r="RL24" s="17">
        <v>0.61399999999999999</v>
      </c>
      <c r="RM24" s="18">
        <f t="shared" si="510"/>
        <v>1.9740556279674418E-2</v>
      </c>
      <c r="RN24" s="18">
        <v>0.65</v>
      </c>
      <c r="RO24" s="18">
        <f t="shared" si="511"/>
        <v>2.0897983032228618E-2</v>
      </c>
      <c r="RP24" s="17">
        <v>0.61899999999999999</v>
      </c>
      <c r="RQ24" s="18">
        <f t="shared" si="512"/>
        <v>1.9901309995306947E-2</v>
      </c>
      <c r="RR24" s="17">
        <v>0.55600000000000005</v>
      </c>
      <c r="RS24" s="18">
        <f t="shared" si="513"/>
        <v>1.7875813178337096E-2</v>
      </c>
      <c r="RT24" s="18">
        <v>0.67</v>
      </c>
      <c r="RU24" s="18">
        <f t="shared" si="514"/>
        <v>2.1540997894758732E-2</v>
      </c>
      <c r="RV24" s="17">
        <v>0.62</v>
      </c>
      <c r="RW24" s="18">
        <f t="shared" si="515"/>
        <v>1.993346073843345E-2</v>
      </c>
      <c r="RX24" s="17">
        <v>0.75</v>
      </c>
      <c r="RY24" s="18">
        <f t="shared" si="516"/>
        <v>2.4113057344879174E-2</v>
      </c>
      <c r="RZ24" s="17">
        <v>0.59399999999999997</v>
      </c>
      <c r="SA24" s="18">
        <f t="shared" si="517"/>
        <v>1.9097541417144304E-2</v>
      </c>
      <c r="SB24" s="17">
        <v>0.49299999999999999</v>
      </c>
      <c r="SC24" s="18">
        <f t="shared" si="518"/>
        <v>1.5850316361367245E-2</v>
      </c>
      <c r="SD24" s="17">
        <v>0.56699999999999995</v>
      </c>
      <c r="SE24" s="18">
        <f t="shared" si="519"/>
        <v>1.8229471352728656E-2</v>
      </c>
      <c r="SF24" s="17">
        <v>0.72199999999999998</v>
      </c>
      <c r="SG24" s="18">
        <f t="shared" si="520"/>
        <v>2.3212836537337019E-2</v>
      </c>
      <c r="SH24" s="17">
        <v>0.65600000000000003</v>
      </c>
      <c r="SI24" s="18">
        <f t="shared" si="521"/>
        <v>2.1090887490987652E-2</v>
      </c>
      <c r="SJ24" s="17">
        <v>0.56699999999999995</v>
      </c>
      <c r="SK24" s="18">
        <f t="shared" si="522"/>
        <v>1.8229471352728656E-2</v>
      </c>
      <c r="SL24" s="17">
        <v>0.51900000000000002</v>
      </c>
      <c r="SM24" s="18">
        <f t="shared" si="523"/>
        <v>1.668623568265639E-2</v>
      </c>
      <c r="SN24" s="17">
        <v>0.54700000000000004</v>
      </c>
      <c r="SO24" s="18">
        <f t="shared" si="524"/>
        <v>1.7586456490198545E-2</v>
      </c>
      <c r="SP24" s="17">
        <v>0.55700000000000005</v>
      </c>
      <c r="SQ24" s="18">
        <f t="shared" si="525"/>
        <v>1.7907963921463602E-2</v>
      </c>
      <c r="SR24" s="17">
        <v>0.65100000000000002</v>
      </c>
      <c r="SS24" s="18">
        <f t="shared" si="526"/>
        <v>2.0930133775355124E-2</v>
      </c>
      <c r="ST24" s="17">
        <v>0.58599999999999997</v>
      </c>
      <c r="SU24" s="18">
        <f t="shared" si="527"/>
        <v>1.884033547213226E-2</v>
      </c>
      <c r="SV24" s="17">
        <v>0.56899999999999995</v>
      </c>
      <c r="SW24" s="18">
        <f t="shared" si="528"/>
        <v>1.8293772838981665E-2</v>
      </c>
      <c r="SX24" s="17">
        <v>0.64700000000000002</v>
      </c>
      <c r="SY24" s="18">
        <f t="shared" si="529"/>
        <v>2.0801530802849102E-2</v>
      </c>
      <c r="SZ24" s="17">
        <v>0.60299999999999998</v>
      </c>
      <c r="TA24" s="18">
        <f t="shared" si="530"/>
        <v>1.9386898105282855E-2</v>
      </c>
      <c r="TB24" s="17">
        <v>0.61299999999999999</v>
      </c>
      <c r="TC24" s="18">
        <f t="shared" si="531"/>
        <v>1.9708405536547912E-2</v>
      </c>
      <c r="TD24" s="17">
        <v>0.53</v>
      </c>
      <c r="TE24" s="18">
        <f t="shared" si="532"/>
        <v>1.703989385704795E-2</v>
      </c>
      <c r="TF24" s="17">
        <v>0.50800000000000001</v>
      </c>
      <c r="TG24" s="18">
        <f t="shared" si="533"/>
        <v>1.6332577508264827E-2</v>
      </c>
      <c r="TH24" s="17">
        <v>0.55500000000000005</v>
      </c>
      <c r="TI24" s="18">
        <f t="shared" si="534"/>
        <v>1.784366243521059E-2</v>
      </c>
      <c r="TJ24" s="17">
        <v>0.41899999999999998</v>
      </c>
      <c r="TK24" s="18">
        <f t="shared" si="535"/>
        <v>1.3471161370005832E-2</v>
      </c>
      <c r="TL24" s="17">
        <v>0.5</v>
      </c>
      <c r="TM24" s="18">
        <f t="shared" si="536"/>
        <v>1.6075371563252783E-2</v>
      </c>
      <c r="TN24" s="17">
        <v>0.63200000000000001</v>
      </c>
      <c r="TO24" s="18">
        <f t="shared" si="537"/>
        <v>2.031926965595152E-2</v>
      </c>
      <c r="TP24" s="17">
        <v>0.60599999999999998</v>
      </c>
      <c r="TQ24" s="18">
        <f t="shared" si="538"/>
        <v>1.9483350334662374E-2</v>
      </c>
      <c r="TR24" s="17">
        <v>0.59799999999999998</v>
      </c>
      <c r="TS24" s="18">
        <f t="shared" si="539"/>
        <v>1.9226144389650326E-2</v>
      </c>
      <c r="TT24" s="17">
        <v>0.50900000000000001</v>
      </c>
      <c r="TU24" s="2">
        <f t="shared" si="540"/>
        <v>1.6364728251391333E-2</v>
      </c>
      <c r="TV24" s="17"/>
      <c r="TW24" s="18">
        <f t="shared" si="541"/>
        <v>0</v>
      </c>
      <c r="TX24" s="17"/>
      <c r="TY24" s="18">
        <f t="shared" si="542"/>
        <v>0</v>
      </c>
      <c r="TZ24" s="17"/>
      <c r="UA24" s="2">
        <f t="shared" si="543"/>
        <v>0</v>
      </c>
      <c r="UB24" s="17"/>
      <c r="UC24" s="18">
        <f t="shared" si="544"/>
        <v>0</v>
      </c>
      <c r="UD24" s="17"/>
      <c r="UE24" s="18">
        <f t="shared" si="545"/>
        <v>0</v>
      </c>
      <c r="UF24" s="17"/>
      <c r="UG24" s="2">
        <f t="shared" si="546"/>
        <v>0</v>
      </c>
      <c r="UH24" s="17"/>
      <c r="UI24" s="18">
        <f t="shared" si="547"/>
        <v>0</v>
      </c>
      <c r="UJ24" s="17"/>
      <c r="UK24" s="18">
        <f t="shared" si="548"/>
        <v>0</v>
      </c>
      <c r="UL24" s="17"/>
      <c r="UM24" s="2">
        <f t="shared" si="549"/>
        <v>0</v>
      </c>
      <c r="UN24" s="17"/>
      <c r="UO24" s="18">
        <f t="shared" si="550"/>
        <v>0</v>
      </c>
      <c r="UP24" s="17"/>
      <c r="UQ24" s="18">
        <f t="shared" si="551"/>
        <v>0</v>
      </c>
      <c r="UR24" s="17"/>
      <c r="US24" s="2">
        <f t="shared" si="552"/>
        <v>0</v>
      </c>
      <c r="UT24" s="17"/>
      <c r="UU24" s="18">
        <f t="shared" si="553"/>
        <v>0</v>
      </c>
      <c r="UV24" s="17"/>
      <c r="UW24" s="18">
        <f t="shared" si="554"/>
        <v>0</v>
      </c>
      <c r="UX24" s="17"/>
      <c r="UY24" s="2">
        <f t="shared" si="555"/>
        <v>0</v>
      </c>
    </row>
    <row r="25" spans="2:587" x14ac:dyDescent="0.2">
      <c r="B25" s="44"/>
      <c r="C25" s="23" t="s">
        <v>60</v>
      </c>
      <c r="D25" s="20">
        <f>((D23*(D22-D24)))/((D22*(D23-D24)))*100</f>
        <v>55.26637391958721</v>
      </c>
      <c r="E25" s="20">
        <f t="shared" ref="E25:H25" si="556">((E23*(E22-E24)))/((E22*(E23-E24)))*100</f>
        <v>55.306909093732159</v>
      </c>
      <c r="F25" s="20">
        <f t="shared" si="556"/>
        <v>53.941495588046187</v>
      </c>
      <c r="G25" s="20">
        <f t="shared" si="556"/>
        <v>53.134388776794573</v>
      </c>
      <c r="H25" s="20">
        <f t="shared" si="556"/>
        <v>53.62108602839276</v>
      </c>
      <c r="I25" s="20">
        <f t="shared" ref="I25" si="557">((I23*(I22-I24)))/((I22*(I23-I24)))*100</f>
        <v>53.621086028392753</v>
      </c>
      <c r="J25" s="20">
        <f t="shared" ref="J25" si="558">((J23*(J22-J24)))/((J22*(J23-J24)))*100</f>
        <v>53.711096360183973</v>
      </c>
      <c r="K25" s="20">
        <f t="shared" ref="K25:M25" si="559">((K23*(K22-K24)))/((K22*(K23-K24)))*100</f>
        <v>53.711096360183973</v>
      </c>
      <c r="L25" s="20">
        <f t="shared" si="559"/>
        <v>59.74424756658032</v>
      </c>
      <c r="M25" s="20">
        <f t="shared" si="559"/>
        <v>59.74424756658032</v>
      </c>
      <c r="N25" s="20">
        <f t="shared" ref="N25" si="560">((N23*(N22-N24)))/((N22*(N23-N24)))*100</f>
        <v>55.596698155808035</v>
      </c>
      <c r="O25" s="20">
        <f t="shared" ref="O25" si="561">((O23*(O22-O24)))/((O22*(O23-O24)))*100</f>
        <v>55.596698155808035</v>
      </c>
      <c r="P25" s="20">
        <f t="shared" ref="P25" si="562">((P23*(P22-P24)))/((P22*(P23-P24)))*100</f>
        <v>52.722996237985328</v>
      </c>
      <c r="Q25" s="20">
        <f t="shared" ref="Q25" si="563">((Q23*(Q22-Q24)))/((Q22*(Q23-Q24)))*100</f>
        <v>52.722996237985328</v>
      </c>
      <c r="R25" s="20">
        <f t="shared" ref="R25" si="564">((R23*(R22-R24)))/((R22*(R23-R24)))*100</f>
        <v>49.256089317280789</v>
      </c>
      <c r="S25" s="20">
        <f t="shared" ref="S25" si="565">((S23*(S22-S24)))/((S22*(S23-S24)))*100</f>
        <v>49.256089317280789</v>
      </c>
      <c r="T25" s="20">
        <f t="shared" ref="T25" si="566">((T23*(T22-T24)))/((T22*(T23-T24)))*100</f>
        <v>50.58562504417511</v>
      </c>
      <c r="U25" s="20">
        <f t="shared" ref="U25:V25" si="567">((U23*(U22-U24)))/((U22*(U23-U24)))*100</f>
        <v>50.58562504417511</v>
      </c>
      <c r="V25" s="20">
        <f t="shared" si="567"/>
        <v>54.589167852732281</v>
      </c>
      <c r="W25" s="20">
        <f t="shared" ref="W25" si="568">((W23*(W22-W24)))/((W22*(W23-W24)))*100</f>
        <v>54.589167852732281</v>
      </c>
      <c r="X25" s="20">
        <f t="shared" ref="X25" si="569">((X23*(X22-X24)))/((X22*(X23-X24)))*100</f>
        <v>55.458335517208738</v>
      </c>
      <c r="Y25" s="20">
        <f t="shared" ref="Y25" si="570">((Y23*(Y22-Y24)))/((Y22*(Y23-Y24)))*100</f>
        <v>55.458335517208724</v>
      </c>
      <c r="Z25" s="20">
        <f t="shared" ref="Z25" si="571">((Z23*(Z22-Z24)))/((Z22*(Z23-Z24)))*100</f>
        <v>55.889022398225663</v>
      </c>
      <c r="AA25" s="20">
        <f t="shared" ref="AA25" si="572">((AA23*(AA22-AA24)))/((AA22*(AA23-AA24)))*100</f>
        <v>55.889022398225649</v>
      </c>
      <c r="AB25" s="20">
        <f t="shared" ref="AB25" si="573">((AB23*(AB22-AB24)))/((AB22*(AB23-AB24)))*100</f>
        <v>56.930055011535188</v>
      </c>
      <c r="AC25" s="20">
        <f t="shared" ref="AC25" si="574">((AC23*(AC22-AC24)))/((AC22*(AC23-AC24)))*100</f>
        <v>56.930055011535188</v>
      </c>
      <c r="AD25" s="20">
        <f t="shared" ref="AD25:AE25" si="575">((AD23*(AD22-AD24)))/((AD22*(AD23-AD24)))*100</f>
        <v>56.048204418529579</v>
      </c>
      <c r="AE25" s="20">
        <f t="shared" si="575"/>
        <v>56.048204418529579</v>
      </c>
      <c r="AF25" s="20">
        <f t="shared" ref="AF25" si="576">((AF23*(AF22-AF24)))/((AF22*(AF23-AF24)))*100</f>
        <v>53.206691111722712</v>
      </c>
      <c r="AG25" s="20">
        <f t="shared" ref="AG25" si="577">((AG23*(AG22-AG24)))/((AG22*(AG23-AG24)))*100</f>
        <v>53.206691111722705</v>
      </c>
      <c r="AH25" s="20">
        <f t="shared" ref="AH25" si="578">((AH23*(AH22-AH24)))/((AH22*(AH23-AH24)))*100</f>
        <v>60.296039155940996</v>
      </c>
      <c r="AI25" s="20">
        <f t="shared" ref="AI25" si="579">((AI23*(AI22-AI24)))/((AI22*(AI23-AI24)))*100</f>
        <v>60.296039155940996</v>
      </c>
      <c r="AJ25" s="20">
        <f t="shared" ref="AJ25" si="580">((AJ23*(AJ22-AJ24)))/((AJ22*(AJ23-AJ24)))*100</f>
        <v>61.272433217688402</v>
      </c>
      <c r="AK25" s="20">
        <f t="shared" ref="AK25" si="581">((AK23*(AK22-AK24)))/((AK22*(AK23-AK24)))*100</f>
        <v>61.272433217688395</v>
      </c>
      <c r="AL25" s="20">
        <f t="shared" ref="AL25" si="582">((AL23*(AL22-AL24)))/((AL22*(AL23-AL24)))*100</f>
        <v>61.182118182557097</v>
      </c>
      <c r="AM25" s="20">
        <f t="shared" ref="AM25:AN25" si="583">((AM23*(AM22-AM24)))/((AM22*(AM23-AM24)))*100</f>
        <v>61.182118182557097</v>
      </c>
      <c r="AN25" s="20">
        <f t="shared" si="583"/>
        <v>60.971277865636097</v>
      </c>
      <c r="AO25" s="20">
        <f t="shared" ref="AO25" si="584">((AO23*(AO22-AO24)))/((AO22*(AO23-AO24)))*100</f>
        <v>60.971277865636097</v>
      </c>
      <c r="AP25" s="20">
        <f t="shared" ref="AP25" si="585">((AP23*(AP22-AP24)))/((AP22*(AP23-AP24)))*100</f>
        <v>61.504428252789502</v>
      </c>
      <c r="AQ25" s="20">
        <f t="shared" ref="AQ25" si="586">((AQ23*(AQ22-AQ24)))/((AQ22*(AQ23-AQ24)))*100</f>
        <v>61.504428252789488</v>
      </c>
      <c r="AR25" s="20">
        <f t="shared" ref="AR25" si="587">((AR23*(AR22-AR24)))/((AR22*(AR23-AR24)))*100</f>
        <v>54.418927483482136</v>
      </c>
      <c r="AS25" s="20">
        <f t="shared" ref="AS25" si="588">((AS23*(AS22-AS24)))/((AS22*(AS23-AS24)))*100</f>
        <v>54.418927483482136</v>
      </c>
      <c r="AT25" s="20">
        <f t="shared" ref="AT25" si="589">((AT23*(AT22-AT24)))/((AT22*(AT23-AT24)))*100</f>
        <v>48.896628497742931</v>
      </c>
      <c r="AU25" s="20">
        <f t="shared" ref="AU25" si="590">((AU23*(AU22-AU24)))/((AU22*(AU23-AU24)))*100</f>
        <v>48.896628497742924</v>
      </c>
      <c r="AV25" s="20">
        <f t="shared" ref="AV25:AW25" si="591">((AV23*(AV22-AV24)))/((AV22*(AV23-AV24)))*100</f>
        <v>52.282445366659694</v>
      </c>
      <c r="AW25" s="20">
        <f t="shared" si="591"/>
        <v>52.282445366659694</v>
      </c>
      <c r="AX25" s="20">
        <f t="shared" ref="AX25" si="592">((AX23*(AX22-AX24)))/((AX22*(AX23-AX24)))*100</f>
        <v>51.743206705421116</v>
      </c>
      <c r="AY25" s="20">
        <f t="shared" ref="AY25" si="593">((AY23*(AY22-AY24)))/((AY22*(AY23-AY24)))*100</f>
        <v>51.74320670542113</v>
      </c>
      <c r="AZ25" s="20">
        <f t="shared" ref="AZ25" si="594">((AZ23*(AZ22-AZ24)))/((AZ22*(AZ23-AZ24)))*100</f>
        <v>50.616402992635322</v>
      </c>
      <c r="BA25" s="20">
        <f t="shared" ref="BA25" si="595">((BA23*(BA22-BA24)))/((BA22*(BA23-BA24)))*100</f>
        <v>50.616402992635322</v>
      </c>
      <c r="BB25" s="20">
        <f t="shared" ref="BB25" si="596">((BB23*(BB22-BB24)))/((BB22*(BB23-BB24)))*100</f>
        <v>48.489307998872206</v>
      </c>
      <c r="BC25" s="20">
        <f t="shared" ref="BC25" si="597">((BC23*(BC22-BC24)))/((BC22*(BC23-BC24)))*100</f>
        <v>48.489307998872206</v>
      </c>
      <c r="BD25" s="20">
        <f t="shared" ref="BD25" si="598">((BD23*(BD22-BD24)))/((BD22*(BD23-BD24)))*100</f>
        <v>52.852776638370344</v>
      </c>
      <c r="BE25" s="20">
        <f t="shared" ref="BE25:BF25" si="599">((BE23*(BE22-BE24)))/((BE22*(BE23-BE24)))*100</f>
        <v>52.852776638370358</v>
      </c>
      <c r="BF25" s="20">
        <f t="shared" si="599"/>
        <v>54.408022424604795</v>
      </c>
      <c r="BG25" s="20">
        <f t="shared" ref="BG25" si="600">((BG23*(BG22-BG24)))/((BG22*(BG23-BG24)))*100</f>
        <v>54.408022424604809</v>
      </c>
      <c r="BH25" s="20">
        <f t="shared" ref="BH25" si="601">((BH23*(BH22-BH24)))/((BH22*(BH23-BH24)))*100</f>
        <v>49.085026097241013</v>
      </c>
      <c r="BI25" s="20">
        <f t="shared" ref="BI25" si="602">((BI23*(BI22-BI24)))/((BI22*(BI23-BI24)))*100</f>
        <v>49.085026097241013</v>
      </c>
      <c r="BJ25" s="20">
        <f t="shared" ref="BJ25" si="603">((BJ23*(BJ22-BJ24)))/((BJ22*(BJ23-BJ24)))*100</f>
        <v>53.964931817444963</v>
      </c>
      <c r="BK25" s="20">
        <f t="shared" ref="BK25" si="604">((BK23*(BK22-BK24)))/((BK22*(BK23-BK24)))*100</f>
        <v>53.96493181744497</v>
      </c>
      <c r="BL25" s="20">
        <f t="shared" ref="BL25" si="605">((BL23*(BL22-BL24)))/((BL22*(BL23-BL24)))*100</f>
        <v>53.717902763400105</v>
      </c>
      <c r="BM25" s="20">
        <f t="shared" ref="BM25" si="606">((BM23*(BM22-BM24)))/((BM22*(BM23-BM24)))*100</f>
        <v>53.717902763400105</v>
      </c>
      <c r="BN25" s="20">
        <f t="shared" ref="BN25:BO25" si="607">((BN23*(BN22-BN24)))/((BN22*(BN23-BN24)))*100</f>
        <v>50.681951330500439</v>
      </c>
      <c r="BO25" s="20">
        <f t="shared" si="607"/>
        <v>50.681951330500453</v>
      </c>
      <c r="BP25" s="20">
        <f t="shared" ref="BP25" si="608">((BP23*(BP22-BP24)))/((BP22*(BP23-BP24)))*100</f>
        <v>54.800668247024142</v>
      </c>
      <c r="BQ25" s="20">
        <f t="shared" ref="BQ25" si="609">((BQ23*(BQ22-BQ24)))/((BQ22*(BQ23-BQ24)))*100</f>
        <v>54.800668247024156</v>
      </c>
      <c r="BR25" s="20">
        <f t="shared" ref="BR25" si="610">((BR23*(BR22-BR24)))/((BR22*(BR23-BR24)))*100</f>
        <v>51.682421075404818</v>
      </c>
      <c r="BS25" s="20">
        <f t="shared" ref="BS25" si="611">((BS23*(BS22-BS24)))/((BS22*(BS23-BS24)))*100</f>
        <v>51.682421075404818</v>
      </c>
      <c r="BT25" s="20">
        <f t="shared" ref="BT25" si="612">((BT23*(BT22-BT24)))/((BT22*(BT23-BT24)))*100</f>
        <v>50.221294372611744</v>
      </c>
      <c r="BU25" s="20">
        <f t="shared" ref="BU25" si="613">((BU23*(BU22-BU24)))/((BU22*(BU23-BU24)))*100</f>
        <v>50.221294372611744</v>
      </c>
      <c r="BV25" s="20">
        <f t="shared" ref="BV25" si="614">((BV23*(BV22-BV24)))/((BV22*(BV23-BV24)))*100</f>
        <v>54.291466939895948</v>
      </c>
      <c r="BW25" s="20">
        <f t="shared" ref="BW25:BX25" si="615">((BW23*(BW22-BW24)))/((BW22*(BW23-BW24)))*100</f>
        <v>54.29146693989594</v>
      </c>
      <c r="BX25" s="20">
        <f t="shared" si="615"/>
        <v>49.734342010531144</v>
      </c>
      <c r="BY25" s="20">
        <f t="shared" ref="BY25" si="616">((BY23*(BY22-BY24)))/((BY22*(BY23-BY24)))*100</f>
        <v>49.734342010531144</v>
      </c>
      <c r="BZ25" s="20">
        <f t="shared" ref="BZ25" si="617">((BZ23*(BZ22-BZ24)))/((BZ22*(BZ23-BZ24)))*100</f>
        <v>49.465833255204039</v>
      </c>
      <c r="CA25" s="20">
        <f t="shared" ref="CA25" si="618">((CA23*(CA22-CA24)))/((CA22*(CA23-CA24)))*100</f>
        <v>49.465833255204039</v>
      </c>
      <c r="CB25" s="20">
        <f t="shared" ref="CB25" si="619">((CB23*(CB22-CB24)))/((CB22*(CB23-CB24)))*100</f>
        <v>50.502990668209826</v>
      </c>
      <c r="CC25" s="20">
        <f t="shared" ref="CC25" si="620">((CC23*(CC22-CC24)))/((CC22*(CC23-CC24)))*100</f>
        <v>50.502990668209812</v>
      </c>
      <c r="CD25" s="20">
        <f t="shared" ref="CD25" si="621">((CD23*(CD22-CD24)))/((CD22*(CD23-CD24)))*100</f>
        <v>52.30154619861618</v>
      </c>
      <c r="CE25" s="20">
        <f t="shared" ref="CE25" si="622">((CE23*(CE22-CE24)))/((CE22*(CE23-CE24)))*100</f>
        <v>52.30154619861618</v>
      </c>
      <c r="CF25" s="20">
        <f t="shared" ref="CF25:CG25" si="623">((CF23*(CF22-CF24)))/((CF22*(CF23-CF24)))*100</f>
        <v>51.105552307438018</v>
      </c>
      <c r="CG25" s="20">
        <f t="shared" si="623"/>
        <v>51.105552307438032</v>
      </c>
      <c r="CH25" s="20">
        <f t="shared" ref="CH25" si="624">((CH23*(CH22-CH24)))/((CH22*(CH23-CH24)))*100</f>
        <v>52.3244176788779</v>
      </c>
      <c r="CI25" s="20">
        <f t="shared" ref="CI25" si="625">((CI23*(CI22-CI24)))/((CI22*(CI23-CI24)))*100</f>
        <v>52.324417678877907</v>
      </c>
      <c r="CJ25" s="20">
        <f t="shared" ref="CJ25" si="626">((CJ23*(CJ22-CJ24)))/((CJ22*(CJ23-CJ24)))*100</f>
        <v>49.94149271902328</v>
      </c>
      <c r="CK25" s="20">
        <f t="shared" ref="CK25" si="627">((CK23*(CK22-CK24)))/((CK22*(CK23-CK24)))*100</f>
        <v>49.94149271902328</v>
      </c>
      <c r="CL25" s="20">
        <f t="shared" ref="CL25" si="628">((CL23*(CL22-CL24)))/((CL22*(CL23-CL24)))*100</f>
        <v>55.469388541125028</v>
      </c>
      <c r="CM25" s="20">
        <f t="shared" ref="CM25" si="629">((CM23*(CM22-CM24)))/((CM22*(CM23-CM24)))*100</f>
        <v>55.469388541125028</v>
      </c>
      <c r="CN25" s="20">
        <f t="shared" ref="CN25" si="630">((CN23*(CN22-CN24)))/((CN22*(CN23-CN24)))*100</f>
        <v>52.855991628505983</v>
      </c>
      <c r="CO25" s="20">
        <f t="shared" ref="CO25:CP25" si="631">((CO23*(CO22-CO24)))/((CO22*(CO23-CO24)))*100</f>
        <v>52.855991628505997</v>
      </c>
      <c r="CP25" s="20">
        <f t="shared" si="631"/>
        <v>51.575836943197608</v>
      </c>
      <c r="CQ25" s="20">
        <f t="shared" ref="CQ25" si="632">((CQ23*(CQ22-CQ24)))/((CQ22*(CQ23-CQ24)))*100</f>
        <v>51.575836943197615</v>
      </c>
      <c r="CR25" s="20">
        <f t="shared" ref="CR25" si="633">((CR23*(CR22-CR24)))/((CR22*(CR23-CR24)))*100</f>
        <v>47.194358025494559</v>
      </c>
      <c r="CS25" s="20">
        <f t="shared" ref="CS25" si="634">((CS23*(CS22-CS24)))/((CS22*(CS23-CS24)))*100</f>
        <v>47.194358025494552</v>
      </c>
      <c r="CT25" s="20">
        <f t="shared" ref="CT25" si="635">((CT23*(CT22-CT24)))/((CT22*(CT23-CT24)))*100</f>
        <v>50.234253463317877</v>
      </c>
      <c r="CU25" s="20">
        <f t="shared" ref="CU25" si="636">((CU23*(CU22-CU24)))/((CU22*(CU23-CU24)))*100</f>
        <v>50.234253463317877</v>
      </c>
      <c r="CV25" s="20" t="e">
        <f t="shared" ref="CV25" si="637">((CV23*(CV22-CV24)))/((CV22*(CV23-CV24)))*100</f>
        <v>#DIV/0!</v>
      </c>
      <c r="CW25" s="20" t="e">
        <f t="shared" ref="CW25" si="638">((CW23*(CW22-CW24)))/((CW22*(CW23-CW24)))*100</f>
        <v>#DIV/0!</v>
      </c>
      <c r="CX25" s="20" t="e">
        <f t="shared" ref="CX25:CY25" si="639">((CX23*(CX22-CX24)))/((CX22*(CX23-CX24)))*100</f>
        <v>#DIV/0!</v>
      </c>
      <c r="CY25" s="20" t="e">
        <f t="shared" si="639"/>
        <v>#DIV/0!</v>
      </c>
      <c r="CZ25" s="20" t="e">
        <f t="shared" ref="CZ25" si="640">((CZ23*(CZ22-CZ24)))/((CZ22*(CZ23-CZ24)))*100</f>
        <v>#DIV/0!</v>
      </c>
      <c r="DA25" s="20" t="e">
        <f t="shared" ref="DA25" si="641">((DA23*(DA22-DA24)))/((DA22*(DA23-DA24)))*100</f>
        <v>#DIV/0!</v>
      </c>
      <c r="DB25" s="20" t="e">
        <f t="shared" ref="DB25" si="642">((DB23*(DB22-DB24)))/((DB22*(DB23-DB24)))*100</f>
        <v>#DIV/0!</v>
      </c>
      <c r="DC25" s="20" t="e">
        <f t="shared" ref="DC25" si="643">((DC23*(DC22-DC24)))/((DC22*(DC23-DC24)))*100</f>
        <v>#DIV/0!</v>
      </c>
      <c r="DD25" s="20" t="e">
        <f t="shared" ref="DD25" si="644">((DD23*(DD22-DD24)))/((DD22*(DD23-DD24)))*100</f>
        <v>#DIV/0!</v>
      </c>
      <c r="DE25" s="20" t="e">
        <f t="shared" ref="DE25" si="645">((DE23*(DE22-DE24)))/((DE22*(DE23-DE24)))*100</f>
        <v>#DIV/0!</v>
      </c>
      <c r="DF25" s="20" t="e">
        <f t="shared" ref="DF25" si="646">((DF23*(DF22-DF24)))/((DF22*(DF23-DF24)))*100</f>
        <v>#DIV/0!</v>
      </c>
      <c r="DG25" s="20" t="e">
        <f t="shared" ref="DG25:DH25" si="647">((DG23*(DG22-DG24)))/((DG22*(DG23-DG24)))*100</f>
        <v>#DIV/0!</v>
      </c>
      <c r="DH25" s="20" t="e">
        <f t="shared" si="647"/>
        <v>#DIV/0!</v>
      </c>
      <c r="DI25" s="20" t="e">
        <f t="shared" ref="DI25" si="648">((DI23*(DI22-DI24)))/((DI22*(DI23-DI24)))*100</f>
        <v>#DIV/0!</v>
      </c>
      <c r="DJ25" s="20" t="e">
        <f t="shared" ref="DJ25" si="649">((DJ23*(DJ22-DJ24)))/((DJ22*(DJ23-DJ24)))*100</f>
        <v>#DIV/0!</v>
      </c>
      <c r="DK25" s="20" t="e">
        <f t="shared" ref="DK25" si="650">((DK23*(DK22-DK24)))/((DK22*(DK23-DK24)))*100</f>
        <v>#DIV/0!</v>
      </c>
      <c r="DL25" s="20" t="e">
        <f t="shared" ref="DL25" si="651">((DL23*(DL22-DL24)))/((DL22*(DL23-DL24)))*100</f>
        <v>#DIV/0!</v>
      </c>
      <c r="DM25" s="20" t="e">
        <f t="shared" ref="DM25" si="652">((DM23*(DM22-DM24)))/((DM22*(DM23-DM24)))*100</f>
        <v>#DIV/0!</v>
      </c>
      <c r="DN25" s="20" t="e">
        <f t="shared" ref="DN25" si="653">((DN23*(DN22-DN24)))/((DN22*(DN23-DN24)))*100</f>
        <v>#DIV/0!</v>
      </c>
      <c r="DO25" s="20" t="e">
        <f t="shared" ref="DO25" si="654">((DO23*(DO22-DO24)))/((DO22*(DO23-DO24)))*100</f>
        <v>#DIV/0!</v>
      </c>
      <c r="DP25" s="20" t="e">
        <f t="shared" ref="DP25:DQ25" si="655">((DP23*(DP22-DP24)))/((DP22*(DP23-DP24)))*100</f>
        <v>#DIV/0!</v>
      </c>
      <c r="DQ25" s="20" t="e">
        <f t="shared" si="655"/>
        <v>#DIV/0!</v>
      </c>
      <c r="DR25" s="20" t="e">
        <f t="shared" ref="DR25" si="656">((DR23*(DR22-DR24)))/((DR22*(DR23-DR24)))*100</f>
        <v>#DIV/0!</v>
      </c>
      <c r="DS25" s="20" t="e">
        <f t="shared" ref="DS25" si="657">((DS23*(DS22-DS24)))/((DS22*(DS23-DS24)))*100</f>
        <v>#DIV/0!</v>
      </c>
      <c r="DT25" s="20" t="e">
        <f t="shared" ref="DT25" si="658">((DT23*(DT22-DT24)))/((DT22*(DT23-DT24)))*100</f>
        <v>#DIV/0!</v>
      </c>
      <c r="DU25" s="20" t="e">
        <f t="shared" ref="DU25" si="659">((DU23*(DU22-DU24)))/((DU22*(DU23-DU24)))*100</f>
        <v>#DIV/0!</v>
      </c>
      <c r="DV25" s="20">
        <f t="shared" ref="DV25" si="660">((DV23*(DV22-DV24)))/((DV22*(DV23-DV24)))*100</f>
        <v>51.564202001483451</v>
      </c>
      <c r="DW25" s="20">
        <f t="shared" ref="DW25" si="661">((DW23*(DW22-DW24)))/((DW22*(DW23-DW24)))*100</f>
        <v>51.564202001483451</v>
      </c>
      <c r="DX25" s="20">
        <f t="shared" ref="DX25" si="662">((DX23*(DX22-DX24)))/((DX22*(DX23-DX24)))*100</f>
        <v>51.630529157746217</v>
      </c>
      <c r="DY25" s="20">
        <f t="shared" ref="DY25:DZ25" si="663">((DY23*(DY22-DY24)))/((DY22*(DY23-DY24)))*100</f>
        <v>51.630529157746217</v>
      </c>
      <c r="DZ25" s="20">
        <f t="shared" si="663"/>
        <v>49.67170629224988</v>
      </c>
      <c r="EA25" s="20">
        <f t="shared" ref="EA25" si="664">((EA23*(EA22-EA24)))/((EA22*(EA23-EA24)))*100</f>
        <v>49.671706292249887</v>
      </c>
      <c r="EB25" s="20">
        <f t="shared" ref="EB25" si="665">((EB23*(EB22-EB24)))/((EB22*(EB23-EB24)))*100</f>
        <v>52.269186950335111</v>
      </c>
      <c r="EC25" s="20">
        <f t="shared" ref="EC25" si="666">((EC23*(EC22-EC24)))/((EC22*(EC23-EC24)))*100</f>
        <v>52.269186950335097</v>
      </c>
      <c r="ED25" s="20">
        <f t="shared" ref="ED25" si="667">((ED23*(ED22-ED24)))/((ED22*(ED23-ED24)))*100</f>
        <v>49.393025623222748</v>
      </c>
      <c r="EE25" s="20">
        <f t="shared" ref="EE25" si="668">((EE23*(EE22-EE24)))/((EE22*(EE23-EE24)))*100</f>
        <v>49.393025623222748</v>
      </c>
      <c r="EF25" s="20">
        <f t="shared" ref="EF25" si="669">((EF23*(EF22-EF24)))/((EF22*(EF23-EF24)))*100</f>
        <v>53.687039298477131</v>
      </c>
      <c r="EG25" s="20">
        <f t="shared" ref="EG25" si="670">((EG23*(EG22-EG24)))/((EG22*(EG23-EG24)))*100</f>
        <v>53.687039298477131</v>
      </c>
      <c r="EH25" s="20">
        <f t="shared" ref="EH25:EI25" si="671">((EH23*(EH22-EH24)))/((EH22*(EH23-EH24)))*100</f>
        <v>53.665968316515681</v>
      </c>
      <c r="EI25" s="20">
        <f t="shared" si="671"/>
        <v>53.665968316515681</v>
      </c>
      <c r="EJ25" s="20">
        <f t="shared" ref="EJ25" si="672">((EJ23*(EJ22-EJ24)))/((EJ22*(EJ23-EJ24)))*100</f>
        <v>53.685829988173531</v>
      </c>
      <c r="EK25" s="20">
        <f t="shared" ref="EK25" si="673">((EK23*(EK22-EK24)))/((EK22*(EK23-EK24)))*100</f>
        <v>53.685829988173516</v>
      </c>
      <c r="EL25" s="20">
        <f t="shared" ref="EL25" si="674">((EL23*(EL22-EL24)))/((EL22*(EL23-EL24)))*100</f>
        <v>50.037038732689922</v>
      </c>
      <c r="EM25" s="20">
        <f t="shared" ref="EM25" si="675">((EM23*(EM22-EM24)))/((EM22*(EM23-EM24)))*100</f>
        <v>50.037038732689922</v>
      </c>
      <c r="EN25" s="20">
        <f t="shared" ref="EN25" si="676">((EN23*(EN22-EN24)))/((EN22*(EN23-EN24)))*100</f>
        <v>51.021209813011012</v>
      </c>
      <c r="EO25" s="20">
        <f t="shared" ref="EO25" si="677">((EO23*(EO22-EO24)))/((EO22*(EO23-EO24)))*100</f>
        <v>51.021209813011012</v>
      </c>
      <c r="EP25" s="20">
        <f t="shared" ref="EP25" si="678">((EP23*(EP22-EP24)))/((EP22*(EP23-EP24)))*100</f>
        <v>48.896330871310361</v>
      </c>
      <c r="EQ25" s="20">
        <f t="shared" ref="EQ25:ER25" si="679">((EQ23*(EQ22-EQ24)))/((EQ22*(EQ23-EQ24)))*100</f>
        <v>48.896330871310376</v>
      </c>
      <c r="ER25" s="20">
        <f t="shared" si="679"/>
        <v>47.915758647099601</v>
      </c>
      <c r="ES25" s="20">
        <f t="shared" ref="ES25" si="680">((ES23*(ES22-ES24)))/((ES22*(ES23-ES24)))*100</f>
        <v>47.915758647099608</v>
      </c>
      <c r="ET25" s="20">
        <f t="shared" ref="ET25" si="681">((ET23*(ET22-ET24)))/((ET22*(ET23-ET24)))*100</f>
        <v>50.086434150179173</v>
      </c>
      <c r="EU25" s="20">
        <f t="shared" ref="EU25" si="682">((EU23*(EU22-EU24)))/((EU22*(EU23-EU24)))*100</f>
        <v>50.086434150179173</v>
      </c>
      <c r="EV25" s="20">
        <f t="shared" ref="EV25" si="683">((EV23*(EV22-EV24)))/((EV22*(EV23-EV24)))*100</f>
        <v>57.75638582999877</v>
      </c>
      <c r="EW25" s="20">
        <f t="shared" ref="EW25" si="684">((EW23*(EW22-EW24)))/((EW22*(EW23-EW24)))*100</f>
        <v>57.756385829998756</v>
      </c>
      <c r="EX25" s="20">
        <f t="shared" ref="EX25" si="685">((EX23*(EX22-EX24)))/((EX22*(EX23-EX24)))*100</f>
        <v>52.592870480719789</v>
      </c>
      <c r="EY25" s="20">
        <f t="shared" ref="EY25" si="686">((EY23*(EY22-EY24)))/((EY22*(EY23-EY24)))*100</f>
        <v>52.592870480719803</v>
      </c>
      <c r="EZ25" s="20">
        <f t="shared" ref="EZ25:FA25" si="687">((EZ23*(EZ22-EZ24)))/((EZ22*(EZ23-EZ24)))*100</f>
        <v>54.358111417207866</v>
      </c>
      <c r="FA25" s="20">
        <f t="shared" si="687"/>
        <v>54.358111417207851</v>
      </c>
      <c r="FB25" s="20">
        <f t="shared" ref="FB25" si="688">((FB23*(FB22-FB24)))/((FB22*(FB23-FB24)))*100</f>
        <v>57.256684007687412</v>
      </c>
      <c r="FC25" s="20">
        <f t="shared" ref="FC25" si="689">((FC23*(FC22-FC24)))/((FC22*(FC23-FC24)))*100</f>
        <v>57.256684007687412</v>
      </c>
      <c r="FD25" s="20">
        <f t="shared" ref="FD25" si="690">((FD23*(FD22-FD24)))/((FD22*(FD23-FD24)))*100</f>
        <v>51.80406695353679</v>
      </c>
      <c r="FE25" s="20">
        <f t="shared" ref="FE25" si="691">((FE23*(FE22-FE24)))/((FE22*(FE23-FE24)))*100</f>
        <v>51.80406695353679</v>
      </c>
      <c r="FF25" s="20">
        <f t="shared" ref="FF25" si="692">((FF23*(FF22-FF24)))/((FF22*(FF23-FF24)))*100</f>
        <v>51.966410842917277</v>
      </c>
      <c r="FG25" s="20">
        <f t="shared" ref="FG25" si="693">((FG23*(FG22-FG24)))/((FG22*(FG23-FG24)))*100</f>
        <v>51.966410842917277</v>
      </c>
      <c r="FH25" s="20">
        <f t="shared" ref="FH25" si="694">((FH23*(FH22-FH24)))/((FH22*(FH23-FH24)))*100</f>
        <v>49.284870019710517</v>
      </c>
      <c r="FI25" s="20">
        <f t="shared" ref="FI25:FJ25" si="695">((FI23*(FI22-FI24)))/((FI22*(FI23-FI24)))*100</f>
        <v>49.284870019710517</v>
      </c>
      <c r="FJ25" s="20">
        <f t="shared" si="695"/>
        <v>57.542610663263183</v>
      </c>
      <c r="FK25" s="20">
        <f t="shared" ref="FK25" si="696">((FK23*(FK22-FK24)))/((FK22*(FK23-FK24)))*100</f>
        <v>57.542610663263197</v>
      </c>
      <c r="FL25" s="20">
        <f t="shared" ref="FL25" si="697">((FL23*(FL22-FL24)))/((FL22*(FL23-FL24)))*100</f>
        <v>60.675684279246447</v>
      </c>
      <c r="FM25" s="20">
        <f t="shared" ref="FM25" si="698">((FM23*(FM22-FM24)))/((FM22*(FM23-FM24)))*100</f>
        <v>60.675684279246447</v>
      </c>
      <c r="FN25" s="20">
        <f t="shared" ref="FN25" si="699">((FN23*(FN22-FN24)))/((FN22*(FN23-FN24)))*100</f>
        <v>58.099578306821833</v>
      </c>
      <c r="FO25" s="20">
        <f t="shared" ref="FO25" si="700">((FO23*(FO22-FO24)))/((FO22*(FO23-FO24)))*100</f>
        <v>58.099578306821833</v>
      </c>
      <c r="FP25" s="20">
        <f t="shared" ref="FP25" si="701">((FP23*(FP22-FP24)))/((FP22*(FP23-FP24)))*100</f>
        <v>52.520325216560181</v>
      </c>
      <c r="FQ25" s="20">
        <f t="shared" ref="FQ25" si="702">((FQ23*(FQ22-FQ24)))/((FQ22*(FQ23-FQ24)))*100</f>
        <v>52.520325216560181</v>
      </c>
      <c r="FR25" s="20">
        <f t="shared" ref="FR25:FS25" si="703">((FR23*(FR22-FR24)))/((FR22*(FR23-FR24)))*100</f>
        <v>55.112867820493392</v>
      </c>
      <c r="FS25" s="20">
        <f t="shared" si="703"/>
        <v>55.112867820493392</v>
      </c>
      <c r="FT25" s="20">
        <f t="shared" ref="FT25" si="704">((FT23*(FT22-FT24)))/((FT22*(FT23-FT24)))*100</f>
        <v>51.377675483733341</v>
      </c>
      <c r="FU25" s="20">
        <f t="shared" ref="FU25" si="705">((FU23*(FU22-FU24)))/((FU22*(FU23-FU24)))*100</f>
        <v>51.377675483733341</v>
      </c>
      <c r="FV25" s="20">
        <f t="shared" ref="FV25" si="706">((FV23*(FV22-FV24)))/((FV22*(FV23-FV24)))*100</f>
        <v>50.738663694845677</v>
      </c>
      <c r="FW25" s="20">
        <f t="shared" ref="FW25" si="707">((FW23*(FW22-FW24)))/((FW22*(FW23-FW24)))*100</f>
        <v>50.738663694845677</v>
      </c>
      <c r="FX25" s="20">
        <f t="shared" ref="FX25" si="708">((FX23*(FX22-FX24)))/((FX22*(FX23-FX24)))*100</f>
        <v>53.122506724540386</v>
      </c>
      <c r="FY25" s="20">
        <f t="shared" ref="FY25" si="709">((FY23*(FY22-FY24)))/((FY22*(FY23-FY24)))*100</f>
        <v>53.122506724540372</v>
      </c>
      <c r="FZ25" s="20">
        <f t="shared" ref="FZ25" si="710">((FZ23*(FZ22-FZ24)))/((FZ22*(FZ23-FZ24)))*100</f>
        <v>53.019498628846996</v>
      </c>
      <c r="GA25" s="20">
        <f t="shared" ref="GA25:GB25" si="711">((GA23*(GA22-GA24)))/((GA22*(GA23-GA24)))*100</f>
        <v>53.019498628846996</v>
      </c>
      <c r="GB25" s="20">
        <f t="shared" si="711"/>
        <v>53.176817592958905</v>
      </c>
      <c r="GC25" s="20">
        <f t="shared" ref="GC25" si="712">((GC23*(GC22-GC24)))/((GC22*(GC23-GC24)))*100</f>
        <v>53.176817592958891</v>
      </c>
      <c r="GD25" s="20">
        <f t="shared" ref="GD25" si="713">((GD23*(GD22-GD24)))/((GD22*(GD23-GD24)))*100</f>
        <v>54.574550389665291</v>
      </c>
      <c r="GE25" s="20">
        <f t="shared" ref="GE25" si="714">((GE23*(GE22-GE24)))/((GE22*(GE23-GE24)))*100</f>
        <v>54.574550389665291</v>
      </c>
      <c r="GF25" s="20">
        <f t="shared" ref="GF25" si="715">((GF23*(GF22-GF24)))/((GF22*(GF23-GF24)))*100</f>
        <v>54.023969939055384</v>
      </c>
      <c r="GG25" s="20">
        <f t="shared" ref="GG25" si="716">((GG23*(GG22-GG24)))/((GG22*(GG23-GG24)))*100</f>
        <v>54.023969939055384</v>
      </c>
      <c r="GH25" s="20">
        <f t="shared" ref="GH25" si="717">((GH23*(GH22-GH24)))/((GH22*(GH23-GH24)))*100</f>
        <v>53.882723273535269</v>
      </c>
      <c r="GI25" s="20">
        <f t="shared" ref="GI25" si="718">((GI23*(GI22-GI24)))/((GI22*(GI23-GI24)))*100</f>
        <v>53.882723273535262</v>
      </c>
      <c r="GJ25" s="20">
        <f t="shared" ref="GJ25:GK25" si="719">((GJ23*(GJ22-GJ24)))/((GJ22*(GJ23-GJ24)))*100</f>
        <v>53.526790720933427</v>
      </c>
      <c r="GK25" s="20">
        <f t="shared" si="719"/>
        <v>53.526790720933427</v>
      </c>
      <c r="GL25" s="20">
        <f t="shared" ref="GL25" si="720">((GL23*(GL22-GL24)))/((GL22*(GL23-GL24)))*100</f>
        <v>50.155994471257635</v>
      </c>
      <c r="GM25" s="20">
        <f t="shared" ref="GM25" si="721">((GM23*(GM22-GM24)))/((GM22*(GM23-GM24)))*100</f>
        <v>50.155994471257635</v>
      </c>
      <c r="GN25" s="20">
        <f t="shared" ref="GN25" si="722">((GN23*(GN22-GN24)))/((GN22*(GN23-GN24)))*100</f>
        <v>49.396050313080153</v>
      </c>
      <c r="GO25" s="20">
        <f t="shared" ref="GO25" si="723">((GO23*(GO22-GO24)))/((GO22*(GO23-GO24)))*100</f>
        <v>49.396050313080131</v>
      </c>
      <c r="GP25" s="20">
        <f t="shared" ref="GP25" si="724">((GP23*(GP22-GP24)))/((GP22*(GP23-GP24)))*100</f>
        <v>49.733572610184353</v>
      </c>
      <c r="GQ25" s="20">
        <f t="shared" ref="GQ25" si="725">((GQ23*(GQ22-GQ24)))/((GQ22*(GQ23-GQ24)))*100</f>
        <v>49.733572610184353</v>
      </c>
      <c r="GR25" s="20">
        <f t="shared" ref="GR25" si="726">((GR23*(GR22-GR24)))/((GR22*(GR23-GR24)))*100</f>
        <v>51.197698321349385</v>
      </c>
      <c r="GS25" s="20">
        <f t="shared" ref="GS25:GT25" si="727">((GS23*(GS22-GS24)))/((GS22*(GS23-GS24)))*100</f>
        <v>51.197698321349385</v>
      </c>
      <c r="GT25" s="20">
        <f t="shared" si="727"/>
        <v>55.860340318531456</v>
      </c>
      <c r="GU25" s="20">
        <f t="shared" ref="GU25" si="728">((GU23*(GU22-GU24)))/((GU22*(GU23-GU24)))*100</f>
        <v>55.860340318531456</v>
      </c>
      <c r="GV25" s="20">
        <f t="shared" ref="GV25" si="729">((GV23*(GV22-GV24)))/((GV22*(GV23-GV24)))*100</f>
        <v>51.558310686121658</v>
      </c>
      <c r="GW25" s="20">
        <f t="shared" ref="GW25" si="730">((GW23*(GW22-GW24)))/((GW22*(GW23-GW24)))*100</f>
        <v>51.558310686121658</v>
      </c>
      <c r="GX25" s="20">
        <f t="shared" ref="GX25" si="731">((GX23*(GX22-GX24)))/((GX22*(GX23-GX24)))*100</f>
        <v>55.921486795021423</v>
      </c>
      <c r="GY25" s="20">
        <f t="shared" ref="GY25" si="732">((GY23*(GY22-GY24)))/((GY22*(GY23-GY24)))*100</f>
        <v>55.921486795021401</v>
      </c>
      <c r="GZ25" s="20">
        <f t="shared" ref="GZ25" si="733">((GZ23*(GZ22-GZ24)))/((GZ22*(GZ23-GZ24)))*100</f>
        <v>57.477075181017092</v>
      </c>
      <c r="HA25" s="20">
        <f t="shared" ref="HA25" si="734">((HA23*(HA22-HA24)))/((HA22*(HA23-HA24)))*100</f>
        <v>57.477075181017078</v>
      </c>
      <c r="HB25" s="20">
        <f t="shared" ref="HB25:HC25" si="735">((HB23*(HB22-HB24)))/((HB22*(HB23-HB24)))*100</f>
        <v>55.612863849634728</v>
      </c>
      <c r="HC25" s="20">
        <f t="shared" si="735"/>
        <v>55.612863849634742</v>
      </c>
      <c r="HD25" s="20">
        <f t="shared" ref="HD25" si="736">((HD23*(HD22-HD24)))/((HD22*(HD23-HD24)))*100</f>
        <v>63.07808965148152</v>
      </c>
      <c r="HE25" s="20">
        <f t="shared" ref="HE25" si="737">((HE23*(HE22-HE24)))/((HE22*(HE23-HE24)))*100</f>
        <v>63.07808965148152</v>
      </c>
      <c r="HF25" s="20">
        <f t="shared" ref="HF25" si="738">((HF23*(HF22-HF24)))/((HF22*(HF23-HF24)))*100</f>
        <v>63.167206278880947</v>
      </c>
      <c r="HG25" s="20">
        <f t="shared" ref="HG25" si="739">((HG23*(HG22-HG24)))/((HG22*(HG23-HG24)))*100</f>
        <v>63.167206278880947</v>
      </c>
      <c r="HH25" s="20">
        <f t="shared" ref="HH25" si="740">((HH23*(HH22-HH24)))/((HH22*(HH23-HH24)))*100</f>
        <v>54.734592178605808</v>
      </c>
      <c r="HI25" s="20">
        <f t="shared" ref="HI25" si="741">((HI23*(HI22-HI24)))/((HI22*(HI23-HI24)))*100</f>
        <v>54.734592178605801</v>
      </c>
      <c r="HJ25" s="20">
        <f t="shared" ref="HJ25" si="742">((HJ23*(HJ22-HJ24)))/((HJ22*(HJ23-HJ24)))*100</f>
        <v>50.468068314360707</v>
      </c>
      <c r="HK25" s="20">
        <f t="shared" ref="HK25:HL25" si="743">((HK23*(HK22-HK24)))/((HK22*(HK23-HK24)))*100</f>
        <v>50.468068314360707</v>
      </c>
      <c r="HL25" s="20">
        <f t="shared" si="743"/>
        <v>51.966275968037458</v>
      </c>
      <c r="HM25" s="20">
        <f t="shared" ref="HM25" si="744">((HM23*(HM22-HM24)))/((HM22*(HM23-HM24)))*100</f>
        <v>51.966275968037458</v>
      </c>
      <c r="HN25" s="20">
        <f t="shared" ref="HN25" si="745">((HN23*(HN22-HN24)))/((HN22*(HN23-HN24)))*100</f>
        <v>52.090468928481812</v>
      </c>
      <c r="HO25" s="20">
        <f t="shared" ref="HO25" si="746">((HO23*(HO22-HO24)))/((HO22*(HO23-HO24)))*100</f>
        <v>52.090468928481812</v>
      </c>
      <c r="HP25" s="20">
        <f t="shared" ref="HP25" si="747">((HP23*(HP22-HP24)))/((HP22*(HP23-HP24)))*100</f>
        <v>54.046393078555688</v>
      </c>
      <c r="HQ25" s="20">
        <f t="shared" ref="HQ25" si="748">((HQ23*(HQ22-HQ24)))/((HQ22*(HQ23-HQ24)))*100</f>
        <v>54.046393078555674</v>
      </c>
      <c r="HR25" s="20">
        <f t="shared" ref="HR25" si="749">((HR23*(HR22-HR24)))/((HR22*(HR23-HR24)))*100</f>
        <v>48.840138128464098</v>
      </c>
      <c r="HS25" s="20">
        <f t="shared" ref="HS25" si="750">((HS23*(HS22-HS24)))/((HS22*(HS23-HS24)))*100</f>
        <v>48.840138128464098</v>
      </c>
      <c r="HT25" s="20">
        <f t="shared" ref="HT25:HU25" si="751">((HT23*(HT22-HT24)))/((HT22*(HT23-HT24)))*100</f>
        <v>50.325614867724298</v>
      </c>
      <c r="HU25" s="20">
        <f t="shared" si="751"/>
        <v>50.325614867724298</v>
      </c>
      <c r="HV25" s="20">
        <f t="shared" ref="HV25" si="752">((HV23*(HV22-HV24)))/((HV22*(HV23-HV24)))*100</f>
        <v>49.677660652194547</v>
      </c>
      <c r="HW25" s="20">
        <f t="shared" ref="HW25" si="753">((HW23*(HW22-HW24)))/((HW22*(HW23-HW24)))*100</f>
        <v>49.677660652194554</v>
      </c>
      <c r="HX25" s="20">
        <f t="shared" ref="HX25" si="754">((HX23*(HX22-HX24)))/((HX22*(HX23-HX24)))*100</f>
        <v>50.538281430348221</v>
      </c>
      <c r="HY25" s="20">
        <f t="shared" ref="HY25" si="755">((HY23*(HY22-HY24)))/((HY22*(HY23-HY24)))*100</f>
        <v>50.538281430348221</v>
      </c>
      <c r="HZ25" s="20">
        <f t="shared" ref="HZ25" si="756">((HZ23*(HZ22-HZ24)))/((HZ22*(HZ23-HZ24)))*100</f>
        <v>48.312588772644091</v>
      </c>
      <c r="IA25" s="20">
        <f t="shared" ref="IA25" si="757">((IA23*(IA22-IA24)))/((IA22*(IA23-IA24)))*100</f>
        <v>48.312588772644091</v>
      </c>
      <c r="IB25" s="20">
        <f t="shared" ref="IB25" si="758">((IB23*(IB22-IB24)))/((IB22*(IB23-IB24)))*100</f>
        <v>50.305793197359463</v>
      </c>
      <c r="IC25" s="20">
        <f t="shared" ref="IC25:ID25" si="759">((IC23*(IC22-IC24)))/((IC22*(IC23-IC24)))*100</f>
        <v>50.305793197359471</v>
      </c>
      <c r="ID25" s="20">
        <f t="shared" si="759"/>
        <v>49.480603819262384</v>
      </c>
      <c r="IE25" s="20">
        <f t="shared" ref="IE25" si="760">((IE23*(IE22-IE24)))/((IE22*(IE23-IE24)))*100</f>
        <v>49.480603819262384</v>
      </c>
      <c r="IF25" s="20">
        <f t="shared" ref="IF25" si="761">((IF23*(IF22-IF24)))/((IF22*(IF23-IF24)))*100</f>
        <v>49.813161899060631</v>
      </c>
      <c r="IG25" s="20">
        <f t="shared" ref="IG25" si="762">((IG23*(IG22-IG24)))/((IG22*(IG23-IG24)))*100</f>
        <v>49.813161899060638</v>
      </c>
      <c r="IH25" s="20">
        <f t="shared" ref="IH25" si="763">((IH23*(IH22-IH24)))/((IH22*(IH23-IH24)))*100</f>
        <v>50.091373849425622</v>
      </c>
      <c r="II25" s="20">
        <f t="shared" ref="II25" si="764">((II23*(II22-II24)))/((II22*(II23-II24)))*100</f>
        <v>50.091373849425644</v>
      </c>
      <c r="IJ25" s="20">
        <f t="shared" ref="IJ25" si="765">((IJ23*(IJ22-IJ24)))/((IJ22*(IJ23-IJ24)))*100</f>
        <v>50.3660388817894</v>
      </c>
      <c r="IK25" s="20">
        <f t="shared" ref="IK25" si="766">((IK23*(IK22-IK24)))/((IK22*(IK23-IK24)))*100</f>
        <v>50.3660388817894</v>
      </c>
      <c r="IL25" s="20">
        <f t="shared" ref="IL25:IM25" si="767">((IL23*(IL22-IL24)))/((IL22*(IL23-IL24)))*100</f>
        <v>57.259869335517777</v>
      </c>
      <c r="IM25" s="20">
        <f t="shared" si="767"/>
        <v>57.259869335517777</v>
      </c>
      <c r="IN25" s="20">
        <f t="shared" ref="IN25" si="768">((IN23*(IN22-IN24)))/((IN22*(IN23-IN24)))*100</f>
        <v>49.410639586049179</v>
      </c>
      <c r="IO25" s="20">
        <f t="shared" ref="IO25" si="769">((IO23*(IO22-IO24)))/((IO22*(IO23-IO24)))*100</f>
        <v>49.410639586049165</v>
      </c>
      <c r="IP25" s="20">
        <f t="shared" ref="IP25" si="770">((IP23*(IP22-IP24)))/((IP22*(IP23-IP24)))*100</f>
        <v>49.773584159646184</v>
      </c>
      <c r="IQ25" s="20">
        <f t="shared" ref="IQ25" si="771">((IQ23*(IQ22-IQ24)))/((IQ22*(IQ23-IQ24)))*100</f>
        <v>49.773584159646184</v>
      </c>
      <c r="IR25" s="20">
        <f t="shared" ref="IR25" si="772">((IR23*(IR22-IR24)))/((IR22*(IR23-IR24)))*100</f>
        <v>48.238119074433229</v>
      </c>
      <c r="IS25" s="20">
        <f t="shared" ref="IS25" si="773">((IS23*(IS22-IS24)))/((IS22*(IS23-IS24)))*100</f>
        <v>48.238119074433236</v>
      </c>
      <c r="IT25" s="20">
        <f t="shared" ref="IT25" si="774">((IT23*(IT22-IT24)))/((IT22*(IT23-IT24)))*100</f>
        <v>50.143867447185343</v>
      </c>
      <c r="IU25" s="20">
        <f t="shared" ref="IU25:IV25" si="775">((IU23*(IU22-IU24)))/((IU22*(IU23-IU24)))*100</f>
        <v>50.143867447185329</v>
      </c>
      <c r="IV25" s="20">
        <f t="shared" si="775"/>
        <v>52.775003603863347</v>
      </c>
      <c r="IW25" s="20">
        <f t="shared" ref="IW25" si="776">((IW23*(IW22-IW24)))/((IW22*(IW23-IW24)))*100</f>
        <v>52.775003603863347</v>
      </c>
      <c r="IX25" s="20">
        <f t="shared" ref="IX25" si="777">((IX23*(IX22-IX24)))/((IX22*(IX23-IX24)))*100</f>
        <v>60.312042837296055</v>
      </c>
      <c r="IY25" s="20">
        <f t="shared" ref="IY25" si="778">((IY23*(IY22-IY24)))/((IY22*(IY23-IY24)))*100</f>
        <v>60.312042837296055</v>
      </c>
      <c r="IZ25" s="20">
        <f t="shared" ref="IZ25" si="779">((IZ23*(IZ22-IZ24)))/((IZ22*(IZ23-IZ24)))*100</f>
        <v>53.919204432470572</v>
      </c>
      <c r="JA25" s="20">
        <f t="shared" ref="JA25" si="780">((JA23*(JA22-JA24)))/((JA22*(JA23-JA24)))*100</f>
        <v>53.919204432470572</v>
      </c>
      <c r="JB25" s="20">
        <f t="shared" ref="JB25" si="781">((JB23*(JB22-JB24)))/((JB22*(JB23-JB24)))*100</f>
        <v>53.151602814850506</v>
      </c>
      <c r="JC25" s="20">
        <f t="shared" ref="JC25" si="782">((JC23*(JC22-JC24)))/((JC22*(JC23-JC24)))*100</f>
        <v>53.15160281485052</v>
      </c>
      <c r="JD25" s="20">
        <f t="shared" ref="JD25:JE25" si="783">((JD23*(JD22-JD24)))/((JD22*(JD23-JD24)))*100</f>
        <v>55.842336548528273</v>
      </c>
      <c r="JE25" s="20">
        <f t="shared" si="783"/>
        <v>55.842336548528259</v>
      </c>
      <c r="JF25" s="20">
        <f t="shared" ref="JF25" si="784">((JF23*(JF22-JF24)))/((JF22*(JF23-JF24)))*100</f>
        <v>52.322524331303399</v>
      </c>
      <c r="JG25" s="20">
        <f t="shared" ref="JG25" si="785">((JG23*(JG22-JG24)))/((JG22*(JG23-JG24)))*100</f>
        <v>52.322524331303399</v>
      </c>
      <c r="JH25" s="20">
        <f t="shared" ref="JH25" si="786">((JH23*(JH22-JH24)))/((JH22*(JH23-JH24)))*100</f>
        <v>48.821323593518891</v>
      </c>
      <c r="JI25" s="20">
        <f t="shared" ref="JI25" si="787">((JI23*(JI22-JI24)))/((JI22*(JI23-JI24)))*100</f>
        <v>48.821323593518898</v>
      </c>
      <c r="JJ25" s="20">
        <f t="shared" ref="JJ25" si="788">((JJ23*(JJ22-JJ24)))/((JJ22*(JJ23-JJ24)))*100</f>
        <v>50.602573895867287</v>
      </c>
      <c r="JK25" s="20">
        <f t="shared" ref="JK25" si="789">((JK23*(JK22-JK24)))/((JK22*(JK23-JK24)))*100</f>
        <v>50.602573895867273</v>
      </c>
      <c r="JL25" s="20">
        <f t="shared" ref="JL25" si="790">((JL23*(JL22-JL24)))/((JL22*(JL23-JL24)))*100</f>
        <v>53.751403311633325</v>
      </c>
      <c r="JM25" s="20">
        <f t="shared" ref="JM25:JN25" si="791">((JM23*(JM22-JM24)))/((JM22*(JM23-JM24)))*100</f>
        <v>53.751403311633325</v>
      </c>
      <c r="JN25" s="20">
        <f t="shared" si="791"/>
        <v>52.478232304693094</v>
      </c>
      <c r="JO25" s="20">
        <f t="shared" ref="JO25" si="792">((JO23*(JO22-JO24)))/((JO22*(JO23-JO24)))*100</f>
        <v>52.478232304693094</v>
      </c>
      <c r="JP25" s="20">
        <f t="shared" ref="JP25" si="793">((JP23*(JP22-JP24)))/((JP22*(JP23-JP24)))*100</f>
        <v>51.384133935087291</v>
      </c>
      <c r="JQ25" s="20">
        <f t="shared" ref="JQ25" si="794">((JQ23*(JQ22-JQ24)))/((JQ22*(JQ23-JQ24)))*100</f>
        <v>51.384133935087291</v>
      </c>
      <c r="JR25" s="20">
        <f t="shared" ref="JR25" si="795">((JR23*(JR22-JR24)))/((JR22*(JR23-JR24)))*100</f>
        <v>50.294326093230154</v>
      </c>
      <c r="JS25" s="20">
        <f t="shared" ref="JS25" si="796">((JS23*(JS22-JS24)))/((JS22*(JS23-JS24)))*100</f>
        <v>50.294326093230147</v>
      </c>
      <c r="JT25" s="20">
        <f t="shared" ref="JT25" si="797">((JT23*(JT22-JT24)))/((JT22*(JT23-JT24)))*100</f>
        <v>59.37216340417546</v>
      </c>
      <c r="JU25" s="20">
        <f t="shared" ref="JU25" si="798">((JU23*(JU22-JU24)))/((JU22*(JU23-JU24)))*100</f>
        <v>59.37216340417546</v>
      </c>
      <c r="JV25" s="20">
        <f t="shared" ref="JV25:JW25" si="799">((JV23*(JV22-JV24)))/((JV22*(JV23-JV24)))*100</f>
        <v>61.051993119621073</v>
      </c>
      <c r="JW25" s="20">
        <f t="shared" si="799"/>
        <v>61.051993119621059</v>
      </c>
      <c r="JX25" s="20">
        <f t="shared" ref="JX25" si="800">((JX23*(JX22-JX24)))/((JX22*(JX23-JX24)))*100</f>
        <v>60.037338904291246</v>
      </c>
      <c r="JY25" s="20">
        <f t="shared" ref="JY25" si="801">((JY23*(JY22-JY24)))/((JY22*(JY23-JY24)))*100</f>
        <v>60.037338904291261</v>
      </c>
      <c r="JZ25" s="20">
        <f t="shared" ref="JZ25" si="802">((JZ23*(JZ22-JZ24)))/((JZ22*(JZ23-JZ24)))*100</f>
        <v>57.353614063638091</v>
      </c>
      <c r="KA25" s="20">
        <f t="shared" ref="KA25" si="803">((KA23*(KA22-KA24)))/((KA22*(KA23-KA24)))*100</f>
        <v>57.353614063638084</v>
      </c>
      <c r="KB25" s="20">
        <f t="shared" ref="KB25" si="804">((KB23*(KB22-KB24)))/((KB22*(KB23-KB24)))*100</f>
        <v>52.151269699843958</v>
      </c>
      <c r="KC25" s="20">
        <f t="shared" ref="KC25" si="805">((KC23*(KC22-KC24)))/((KC22*(KC23-KC24)))*100</f>
        <v>52.151269699843958</v>
      </c>
      <c r="KD25" s="20">
        <f t="shared" ref="KD25" si="806">((KD23*(KD22-KD24)))/((KD22*(KD23-KD24)))*100</f>
        <v>49.284851056007433</v>
      </c>
      <c r="KE25" s="20">
        <f t="shared" ref="KE25:KF25" si="807">((KE23*(KE22-KE24)))/((KE22*(KE23-KE24)))*100</f>
        <v>49.284851056007433</v>
      </c>
      <c r="KF25" s="20">
        <f t="shared" si="807"/>
        <v>51.776056522080275</v>
      </c>
      <c r="KG25" s="20">
        <f t="shared" ref="KG25" si="808">((KG23*(KG22-KG24)))/((KG22*(KG23-KG24)))*100</f>
        <v>51.77605652208026</v>
      </c>
      <c r="KH25" s="20">
        <f t="shared" ref="KH25" si="809">((KH23*(KH22-KH24)))/((KH22*(KH23-KH24)))*100</f>
        <v>54.176149554326194</v>
      </c>
      <c r="KI25" s="20">
        <f t="shared" ref="KI25" si="810">((KI23*(KI22-KI24)))/((KI22*(KI23-KI24)))*100</f>
        <v>54.176149554326194</v>
      </c>
      <c r="KJ25" s="20">
        <f t="shared" ref="KJ25" si="811">((KJ23*(KJ22-KJ24)))/((KJ22*(KJ23-KJ24)))*100</f>
        <v>52.570972168880417</v>
      </c>
      <c r="KK25" s="20">
        <f t="shared" ref="KK25" si="812">((KK23*(KK22-KK24)))/((KK22*(KK23-KK24)))*100</f>
        <v>52.570972168880424</v>
      </c>
      <c r="KL25" s="20">
        <f t="shared" ref="KL25" si="813">((KL23*(KL22-KL24)))/((KL22*(KL23-KL24)))*100</f>
        <v>50.196939510508955</v>
      </c>
      <c r="KM25" s="20">
        <f t="shared" ref="KM25" si="814">((KM23*(KM22-KM24)))/((KM22*(KM23-KM24)))*100</f>
        <v>50.19693951050894</v>
      </c>
      <c r="KN25" s="20">
        <f t="shared" ref="KN25:KO25" si="815">((KN23*(KN22-KN24)))/((KN22*(KN23-KN24)))*100</f>
        <v>52.763629696503436</v>
      </c>
      <c r="KO25" s="20">
        <f t="shared" si="815"/>
        <v>52.763629696503436</v>
      </c>
      <c r="KP25" s="20">
        <f t="shared" ref="KP25" si="816">((KP23*(KP22-KP24)))/((KP22*(KP23-KP24)))*100</f>
        <v>53.251555837615108</v>
      </c>
      <c r="KQ25" s="20">
        <f t="shared" ref="KQ25" si="817">((KQ23*(KQ22-KQ24)))/((KQ22*(KQ23-KQ24)))*100</f>
        <v>53.251555837615093</v>
      </c>
      <c r="KR25" s="20">
        <f t="shared" ref="KR25" si="818">((KR23*(KR22-KR24)))/((KR22*(KR23-KR24)))*100</f>
        <v>56.88173934243197</v>
      </c>
      <c r="KS25" s="20">
        <f t="shared" ref="KS25" si="819">((KS23*(KS22-KS24)))/((KS22*(KS23-KS24)))*100</f>
        <v>56.881739342431977</v>
      </c>
      <c r="KT25" s="20">
        <f t="shared" ref="KT25" si="820">((KT23*(KT22-KT24)))/((KT22*(KT23-KT24)))*100</f>
        <v>61.176429469028804</v>
      </c>
      <c r="KU25" s="20">
        <f t="shared" ref="KU25" si="821">((KU23*(KU22-KU24)))/((KU22*(KU23-KU24)))*100</f>
        <v>61.176429469028818</v>
      </c>
      <c r="KV25" s="20">
        <f t="shared" ref="KV25" si="822">((KV23*(KV22-KV24)))/((KV22*(KV23-KV24)))*100</f>
        <v>59.930186497261197</v>
      </c>
      <c r="KW25" s="20">
        <f t="shared" ref="KW25:KX25" si="823">((KW23*(KW22-KW24)))/((KW22*(KW23-KW24)))*100</f>
        <v>59.930186497261182</v>
      </c>
      <c r="KX25" s="20">
        <f t="shared" si="823"/>
        <v>52.171984146828912</v>
      </c>
      <c r="KY25" s="20">
        <f t="shared" ref="KY25" si="824">((KY23*(KY22-KY24)))/((KY22*(KY23-KY24)))*100</f>
        <v>52.171984146828919</v>
      </c>
      <c r="KZ25" s="20">
        <f t="shared" ref="KZ25" si="825">((KZ23*(KZ22-KZ24)))/((KZ22*(KZ23-KZ24)))*100</f>
        <v>50.800272524779608</v>
      </c>
      <c r="LA25" s="20">
        <f t="shared" ref="LA25" si="826">((LA23*(LA22-LA24)))/((LA22*(LA23-LA24)))*100</f>
        <v>50.800272524779622</v>
      </c>
      <c r="LB25" s="20">
        <f t="shared" ref="LB25" si="827">((LB23*(LB22-LB24)))/((LB22*(LB23-LB24)))*100</f>
        <v>55.099053192045389</v>
      </c>
      <c r="LC25" s="20">
        <f t="shared" ref="LC25" si="828">((LC23*(LC22-LC24)))/((LC22*(LC23-LC24)))*100</f>
        <v>55.099053192045389</v>
      </c>
      <c r="LD25" s="20">
        <f t="shared" ref="LD25" si="829">((LD23*(LD22-LD24)))/((LD22*(LD23-LD24)))*100</f>
        <v>50.641344436912597</v>
      </c>
      <c r="LE25" s="20">
        <f t="shared" ref="LE25" si="830">((LE23*(LE22-LE24)))/((LE22*(LE23-LE24)))*100</f>
        <v>50.641344436912604</v>
      </c>
      <c r="LF25" s="20">
        <f t="shared" ref="LF25:LG25" si="831">((LF23*(LF22-LF24)))/((LF22*(LF23-LF24)))*100</f>
        <v>49.758851154785773</v>
      </c>
      <c r="LG25" s="20">
        <f t="shared" si="831"/>
        <v>49.758851154785773</v>
      </c>
      <c r="LH25" s="20">
        <f t="shared" ref="LH25" si="832">((LH23*(LH22-LH24)))/((LH22*(LH23-LH24)))*100</f>
        <v>54.440776753335939</v>
      </c>
      <c r="LI25" s="20">
        <f t="shared" ref="LI25" si="833">((LI23*(LI22-LI24)))/((LI22*(LI23-LI24)))*100</f>
        <v>54.440776753335939</v>
      </c>
      <c r="LJ25" s="20">
        <f t="shared" ref="LJ25" si="834">((LJ23*(LJ22-LJ24)))/((LJ22*(LJ23-LJ24)))*100</f>
        <v>51.241250516305492</v>
      </c>
      <c r="LK25" s="20">
        <f t="shared" ref="LK25" si="835">((LK23*(LK22-LK24)))/((LK22*(LK23-LK24)))*100</f>
        <v>51.241250516305492</v>
      </c>
      <c r="LL25" s="20">
        <f t="shared" ref="LL25" si="836">((LL23*(LL22-LL24)))/((LL22*(LL23-LL24)))*100</f>
        <v>49.234996033429589</v>
      </c>
      <c r="LM25" s="20">
        <f t="shared" ref="LM25" si="837">((LM23*(LM22-LM24)))/((LM22*(LM23-LM24)))*100</f>
        <v>49.234996033429574</v>
      </c>
      <c r="LN25" s="20">
        <f t="shared" ref="LN25" si="838">((LN23*(LN22-LN24)))/((LN22*(LN23-LN24)))*100</f>
        <v>52.424177557642047</v>
      </c>
      <c r="LO25" s="20">
        <f t="shared" ref="LO25:LP25" si="839">((LO23*(LO22-LO24)))/((LO22*(LO23-LO24)))*100</f>
        <v>52.424177557642047</v>
      </c>
      <c r="LP25" s="20">
        <f t="shared" si="839"/>
        <v>57.193576994628224</v>
      </c>
      <c r="LQ25" s="20">
        <f t="shared" ref="LQ25" si="840">((LQ23*(LQ22-LQ24)))/((LQ22*(LQ23-LQ24)))*100</f>
        <v>57.193576994628216</v>
      </c>
      <c r="LR25" s="20">
        <f t="shared" ref="LR25" si="841">((LR23*(LR22-LR24)))/((LR22*(LR23-LR24)))*100</f>
        <v>57.25909294291349</v>
      </c>
      <c r="LS25" s="20">
        <f t="shared" ref="LS25" si="842">((LS23*(LS22-LS24)))/((LS22*(LS23-LS24)))*100</f>
        <v>57.25909294291349</v>
      </c>
      <c r="LT25" s="20">
        <f t="shared" ref="LT25" si="843">((LT23*(LT22-LT24)))/((LT22*(LT23-LT24)))*100</f>
        <v>60.912869138009221</v>
      </c>
      <c r="LU25" s="20">
        <f t="shared" ref="LU25" si="844">((LU23*(LU22-LU24)))/((LU22*(LU23-LU24)))*100</f>
        <v>60.912869138009206</v>
      </c>
      <c r="LV25" s="20">
        <f t="shared" ref="LV25" si="845">((LV23*(LV22-LV24)))/((LV22*(LV23-LV24)))*100</f>
        <v>60.287636825416278</v>
      </c>
      <c r="LW25" s="20">
        <f t="shared" ref="LW25" si="846">((LW23*(LW22-LW24)))/((LW22*(LW23-LW24)))*100</f>
        <v>60.287636825416278</v>
      </c>
      <c r="LX25" s="20">
        <f t="shared" ref="LX25:LY25" si="847">((LX23*(LX22-LX24)))/((LX22*(LX23-LX24)))*100</f>
        <v>58.023093830460617</v>
      </c>
      <c r="LY25" s="20">
        <f t="shared" si="847"/>
        <v>58.023093830460617</v>
      </c>
      <c r="LZ25" s="20">
        <f t="shared" ref="LZ25" si="848">((LZ23*(LZ22-LZ24)))/((LZ22*(LZ23-LZ24)))*100</f>
        <v>51.615024430832854</v>
      </c>
      <c r="MA25" s="20">
        <f t="shared" ref="MA25" si="849">((MA23*(MA22-MA24)))/((MA22*(MA23-MA24)))*100</f>
        <v>51.615024430832854</v>
      </c>
      <c r="MB25" s="20">
        <f t="shared" ref="MB25" si="850">((MB23*(MB22-MB24)))/((MB22*(MB23-MB24)))*100</f>
        <v>49.476414172145844</v>
      </c>
      <c r="MC25" s="20">
        <f t="shared" ref="MC25" si="851">((MC23*(MC22-MC24)))/((MC22*(MC23-MC24)))*100</f>
        <v>49.476414172145837</v>
      </c>
      <c r="MD25" s="20">
        <f t="shared" ref="MD25" si="852">((MD23*(MD22-MD24)))/((MD22*(MD23-MD24)))*100</f>
        <v>52.796092490980854</v>
      </c>
      <c r="ME25" s="20">
        <f t="shared" ref="ME25" si="853">((ME23*(ME22-ME24)))/((ME22*(ME23-ME24)))*100</f>
        <v>52.796092490980854</v>
      </c>
      <c r="MF25" s="20">
        <f t="shared" ref="MF25" si="854">((MF23*(MF22-MF24)))/((MF22*(MF23-MF24)))*100</f>
        <v>50.419166123455973</v>
      </c>
      <c r="MG25" s="20">
        <f t="shared" ref="MG25:MH25" si="855">((MG23*(MG22-MG24)))/((MG22*(MG23-MG24)))*100</f>
        <v>50.41916612345598</v>
      </c>
      <c r="MH25" s="20">
        <f t="shared" si="855"/>
        <v>49.063532728956389</v>
      </c>
      <c r="MI25" s="20">
        <f t="shared" ref="MI25" si="856">((MI23*(MI22-MI24)))/((MI22*(MI23-MI24)))*100</f>
        <v>49.063532728956396</v>
      </c>
      <c r="MJ25" s="20">
        <f t="shared" ref="MJ25" si="857">((MJ23*(MJ22-MJ24)))/((MJ22*(MJ23-MJ24)))*100</f>
        <v>48.975655863727141</v>
      </c>
      <c r="MK25" s="20">
        <f t="shared" ref="MK25" si="858">((MK23*(MK22-MK24)))/((MK22*(MK23-MK24)))*100</f>
        <v>48.975655863727141</v>
      </c>
      <c r="ML25" s="20">
        <f t="shared" ref="ML25" si="859">((ML23*(ML22-ML24)))/((ML22*(ML23-ML24)))*100</f>
        <v>49.877563100334648</v>
      </c>
      <c r="MM25" s="20">
        <f t="shared" ref="MM25" si="860">((MM23*(MM22-MM24)))/((MM22*(MM23-MM24)))*100</f>
        <v>49.877563100334662</v>
      </c>
      <c r="MN25" s="20">
        <f t="shared" ref="MN25" si="861">((MN23*(MN22-MN24)))/((MN22*(MN23-MN24)))*100</f>
        <v>50.351771724189284</v>
      </c>
      <c r="MO25" s="20">
        <f t="shared" ref="MO25" si="862">((MO23*(MO22-MO24)))/((MO22*(MO23-MO24)))*100</f>
        <v>50.351771724189298</v>
      </c>
      <c r="MP25" s="20">
        <f t="shared" ref="MP25:MQ25" si="863">((MP23*(MP22-MP24)))/((MP22*(MP23-MP24)))*100</f>
        <v>52.095106407497923</v>
      </c>
      <c r="MQ25" s="20">
        <f t="shared" si="863"/>
        <v>52.095106407497923</v>
      </c>
      <c r="MR25" s="20">
        <f t="shared" ref="MR25" si="864">((MR23*(MR22-MR24)))/((MR22*(MR23-MR24)))*100</f>
        <v>59.202901076574989</v>
      </c>
      <c r="MS25" s="20">
        <f t="shared" ref="MS25" si="865">((MS23*(MS22-MS24)))/((MS22*(MS23-MS24)))*100</f>
        <v>59.202901076574989</v>
      </c>
      <c r="MT25" s="20">
        <f t="shared" ref="MT25" si="866">((MT23*(MT22-MT24)))/((MT22*(MT23-MT24)))*100</f>
        <v>55.139110670144312</v>
      </c>
      <c r="MU25" s="20">
        <f t="shared" ref="MU25" si="867">((MU23*(MU22-MU24)))/((MU22*(MU23-MU24)))*100</f>
        <v>55.139110670144298</v>
      </c>
      <c r="MV25" s="20">
        <f t="shared" ref="MV25" si="868">((MV23*(MV22-MV24)))/((MV22*(MV23-MV24)))*100</f>
        <v>50.513889421189852</v>
      </c>
      <c r="MW25" s="20">
        <f t="shared" ref="MW25" si="869">((MW23*(MW22-MW24)))/((MW22*(MW23-MW24)))*100</f>
        <v>50.513889421189837</v>
      </c>
      <c r="MX25" s="20">
        <f t="shared" ref="MX25" si="870">((MX23*(MX22-MX24)))/((MX22*(MX23-MX24)))*100</f>
        <v>50.249817077037093</v>
      </c>
      <c r="MY25" s="20">
        <f t="shared" ref="MY25:MZ25" si="871">((MY23*(MY22-MY24)))/((MY22*(MY23-MY24)))*100</f>
        <v>50.249817077037093</v>
      </c>
      <c r="MZ25" s="20">
        <f t="shared" si="871"/>
        <v>49.493506695030646</v>
      </c>
      <c r="NA25" s="20">
        <f t="shared" ref="NA25" si="872">((NA23*(NA22-NA24)))/((NA22*(NA23-NA24)))*100</f>
        <v>49.493506695030639</v>
      </c>
      <c r="NB25" s="20">
        <f t="shared" ref="NB25" si="873">((NB23*(NB22-NB24)))/((NB22*(NB23-NB24)))*100</f>
        <v>52.010437985651791</v>
      </c>
      <c r="NC25" s="20">
        <f t="shared" ref="NC25" si="874">((NC23*(NC22-NC24)))/((NC22*(NC23-NC24)))*100</f>
        <v>52.010437985651791</v>
      </c>
      <c r="ND25" s="20">
        <f t="shared" ref="ND25" si="875">((ND23*(ND22-ND24)))/((ND22*(ND23-ND24)))*100</f>
        <v>53.754853447907244</v>
      </c>
      <c r="NE25" s="20">
        <f t="shared" ref="NE25" si="876">((NE23*(NE22-NE24)))/((NE22*(NE23-NE24)))*100</f>
        <v>53.754853447907244</v>
      </c>
      <c r="NF25" s="20">
        <f t="shared" ref="NF25" si="877">((NF23*(NF22-NF24)))/((NF22*(NF23-NF24)))*100</f>
        <v>53.652045613226271</v>
      </c>
      <c r="NG25" s="20">
        <f t="shared" ref="NG25" si="878">((NG23*(NG22-NG24)))/((NG22*(NG23-NG24)))*100</f>
        <v>53.652045613226271</v>
      </c>
      <c r="NH25" s="20">
        <f t="shared" ref="NH25:NI25" si="879">((NH23*(NH22-NH24)))/((NH22*(NH23-NH24)))*100</f>
        <v>51.593408904075964</v>
      </c>
      <c r="NI25" s="20">
        <f t="shared" si="879"/>
        <v>51.593408904075964</v>
      </c>
      <c r="NJ25" s="20">
        <f t="shared" ref="NJ25" si="880">((NJ23*(NJ22-NJ24)))/((NJ22*(NJ23-NJ24)))*100</f>
        <v>51.080763196089983</v>
      </c>
      <c r="NK25" s="20">
        <f t="shared" ref="NK25" si="881">((NK23*(NK22-NK24)))/((NK22*(NK23-NK24)))*100</f>
        <v>51.080763196089976</v>
      </c>
      <c r="NL25" s="20">
        <f t="shared" ref="NL25" si="882">((NL23*(NL22-NL24)))/((NL22*(NL23-NL24)))*100</f>
        <v>49.958938520128058</v>
      </c>
      <c r="NM25" s="20">
        <f t="shared" ref="NM25" si="883">((NM23*(NM22-NM24)))/((NM22*(NM23-NM24)))*100</f>
        <v>49.958938520128044</v>
      </c>
      <c r="NN25" s="20">
        <f t="shared" ref="NN25" si="884">((NN23*(NN22-NN24)))/((NN22*(NN23-NN24)))*100</f>
        <v>53.595945935885204</v>
      </c>
      <c r="NO25" s="20">
        <f t="shared" ref="NO25" si="885">((NO23*(NO22-NO24)))/((NO22*(NO23-NO24)))*100</f>
        <v>53.595945935885204</v>
      </c>
      <c r="NP25" s="20">
        <f t="shared" ref="NP25" si="886">((NP23*(NP22-NP24)))/((NP22*(NP23-NP24)))*100</f>
        <v>52.195966574604732</v>
      </c>
      <c r="NQ25" s="20">
        <f t="shared" ref="NQ25:NR25" si="887">((NQ23*(NQ22-NQ24)))/((NQ22*(NQ23-NQ24)))*100</f>
        <v>52.195966574604746</v>
      </c>
      <c r="NR25" s="20">
        <f t="shared" si="887"/>
        <v>50.191820992051696</v>
      </c>
      <c r="NS25" s="20">
        <f t="shared" ref="NS25" si="888">((NS23*(NS22-NS24)))/((NS22*(NS23-NS24)))*100</f>
        <v>50.191820992051696</v>
      </c>
      <c r="NT25" s="20">
        <f t="shared" ref="NT25" si="889">((NT23*(NT22-NT24)))/((NT22*(NT23-NT24)))*100</f>
        <v>53.55096329507073</v>
      </c>
      <c r="NU25" s="20">
        <f t="shared" ref="NU25" si="890">((NU23*(NU22-NU24)))/((NU22*(NU23-NU24)))*100</f>
        <v>53.550963295070751</v>
      </c>
      <c r="NV25" s="20">
        <f t="shared" ref="NV25" si="891">((NV23*(NV22-NV24)))/((NV22*(NV23-NV24)))*100</f>
        <v>54.970325430632649</v>
      </c>
      <c r="NW25" s="20">
        <f t="shared" ref="NW25" si="892">((NW23*(NW22-NW24)))/((NW22*(NW23-NW24)))*100</f>
        <v>54.970325430632641</v>
      </c>
      <c r="NX25" s="20">
        <f t="shared" ref="NX25" si="893">((NX23*(NX22-NX24)))/((NX22*(NX23-NX24)))*100</f>
        <v>50.722327938724497</v>
      </c>
      <c r="NY25" s="20">
        <f t="shared" ref="NY25" si="894">((NY23*(NY22-NY24)))/((NY22*(NY23-NY24)))*100</f>
        <v>50.722327938724511</v>
      </c>
      <c r="NZ25" s="20">
        <f t="shared" ref="NZ25:OA25" si="895">((NZ23*(NZ22-NZ24)))/((NZ22*(NZ23-NZ24)))*100</f>
        <v>52.193413596885293</v>
      </c>
      <c r="OA25" s="20">
        <f t="shared" si="895"/>
        <v>52.193413596885293</v>
      </c>
      <c r="OB25" s="20">
        <f t="shared" ref="OB25" si="896">((OB23*(OB22-OB24)))/((OB22*(OB23-OB24)))*100</f>
        <v>49.39973373118346</v>
      </c>
      <c r="OC25" s="20">
        <f t="shared" ref="OC25" si="897">((OC23*(OC22-OC24)))/((OC22*(OC23-OC24)))*100</f>
        <v>49.399733731183439</v>
      </c>
      <c r="OD25" s="20">
        <f t="shared" ref="OD25" si="898">((OD23*(OD22-OD24)))/((OD22*(OD23-OD24)))*100</f>
        <v>54.369814815507333</v>
      </c>
      <c r="OE25" s="20">
        <f t="shared" ref="OE25" si="899">((OE23*(OE22-OE24)))/((OE22*(OE23-OE24)))*100</f>
        <v>54.369814815507347</v>
      </c>
      <c r="OF25" s="20">
        <f t="shared" ref="OF25" si="900">((OF23*(OF22-OF24)))/((OF22*(OF23-OF24)))*100</f>
        <v>51.563090357495511</v>
      </c>
      <c r="OG25" s="20">
        <f t="shared" ref="OG25" si="901">((OG23*(OG22-OG24)))/((OG22*(OG23-OG24)))*100</f>
        <v>51.563090357495525</v>
      </c>
      <c r="OH25" s="20">
        <f t="shared" ref="OH25" si="902">((OH23*(OH22-OH24)))/((OH22*(OH23-OH24)))*100</f>
        <v>50.495425823219833</v>
      </c>
      <c r="OI25" s="20">
        <f t="shared" ref="OI25:OJ25" si="903">((OI23*(OI22-OI24)))/((OI22*(OI23-OI24)))*100</f>
        <v>50.495425823219819</v>
      </c>
      <c r="OJ25" s="20">
        <f t="shared" si="903"/>
        <v>53.037333202592329</v>
      </c>
      <c r="OK25" s="20">
        <f t="shared" ref="OK25" si="904">((OK23*(OK22-OK24)))/((OK22*(OK23-OK24)))*100</f>
        <v>53.037333202592329</v>
      </c>
      <c r="OL25" s="20">
        <f t="shared" ref="OL25" si="905">((OL23*(OL22-OL24)))/((OL22*(OL23-OL24)))*100</f>
        <v>56.202876102776443</v>
      </c>
      <c r="OM25" s="20">
        <f t="shared" ref="OM25" si="906">((OM23*(OM22-OM24)))/((OM22*(OM23-OM24)))*100</f>
        <v>56.202876102776443</v>
      </c>
      <c r="ON25" s="20">
        <f t="shared" ref="ON25" si="907">((ON23*(ON22-ON24)))/((ON22*(ON23-ON24)))*100</f>
        <v>56.506447700257134</v>
      </c>
      <c r="OO25" s="20">
        <f t="shared" ref="OO25" si="908">((OO23*(OO22-OO24)))/((OO22*(OO23-OO24)))*100</f>
        <v>56.506447700257134</v>
      </c>
      <c r="OP25" s="20">
        <f t="shared" ref="OP25" si="909">((OP23*(OP22-OP24)))/((OP22*(OP23-OP24)))*100</f>
        <v>53.610051909683655</v>
      </c>
      <c r="OQ25" s="20">
        <f t="shared" ref="OQ25" si="910">((OQ23*(OQ22-OQ24)))/((OQ22*(OQ23-OQ24)))*100</f>
        <v>53.610051909683662</v>
      </c>
      <c r="OR25" s="20">
        <f t="shared" ref="OR25:OS25" si="911">((OR23*(OR22-OR24)))/((OR22*(OR23-OR24)))*100</f>
        <v>58.823394217384141</v>
      </c>
      <c r="OS25" s="20">
        <f t="shared" si="911"/>
        <v>58.823394217384141</v>
      </c>
      <c r="OT25" s="20">
        <f t="shared" ref="OT25" si="912">((OT23*(OT22-OT24)))/((OT22*(OT23-OT24)))*100</f>
        <v>53.405445725213042</v>
      </c>
      <c r="OU25" s="20">
        <f t="shared" ref="OU25" si="913">((OU23*(OU22-OU24)))/((OU22*(OU23-OU24)))*100</f>
        <v>53.405445725213042</v>
      </c>
      <c r="OV25" s="20">
        <f t="shared" ref="OV25" si="914">((OV23*(OV22-OV24)))/((OV22*(OV23-OV24)))*100</f>
        <v>50.562175340372484</v>
      </c>
      <c r="OW25" s="20">
        <f t="shared" ref="OW25" si="915">((OW23*(OW22-OW24)))/((OW22*(OW23-OW24)))*100</f>
        <v>50.56217534037247</v>
      </c>
      <c r="OX25" s="20">
        <f t="shared" ref="OX25" si="916">((OX23*(OX22-OX24)))/((OX22*(OX23-OX24)))*100</f>
        <v>52.299955827423197</v>
      </c>
      <c r="OY25" s="20">
        <f t="shared" ref="OY25" si="917">((OY23*(OY22-OY24)))/((OY22*(OY23-OY24)))*100</f>
        <v>52.299955827423204</v>
      </c>
      <c r="OZ25" s="20">
        <f t="shared" ref="OZ25" si="918">((OZ23*(OZ22-OZ24)))/((OZ22*(OZ23-OZ24)))*100</f>
        <v>54.81138623115551</v>
      </c>
      <c r="PA25" s="20">
        <f t="shared" ref="PA25:PB25" si="919">((PA23*(PA22-PA24)))/((PA22*(PA23-PA24)))*100</f>
        <v>54.811386231155502</v>
      </c>
      <c r="PB25" s="20">
        <f t="shared" si="919"/>
        <v>52.620351613346287</v>
      </c>
      <c r="PC25" s="20">
        <f t="shared" ref="PC25" si="920">((PC23*(PC22-PC24)))/((PC22*(PC23-PC24)))*100</f>
        <v>52.620351613346287</v>
      </c>
      <c r="PD25" s="20">
        <f t="shared" ref="PD25" si="921">((PD23*(PD22-PD24)))/((PD22*(PD23-PD24)))*100</f>
        <v>49.914713297566387</v>
      </c>
      <c r="PE25" s="20">
        <f t="shared" ref="PE25" si="922">((PE23*(PE22-PE24)))/((PE22*(PE23-PE24)))*100</f>
        <v>49.914713297566379</v>
      </c>
      <c r="PF25" s="20">
        <f t="shared" ref="PF25" si="923">((PF23*(PF22-PF24)))/((PF22*(PF23-PF24)))*100</f>
        <v>49.373929818825715</v>
      </c>
      <c r="PG25" s="20">
        <f t="shared" ref="PG25" si="924">((PG23*(PG22-PG24)))/((PG22*(PG23-PG24)))*100</f>
        <v>49.373929818825715</v>
      </c>
      <c r="PH25" s="20">
        <f t="shared" ref="PH25" si="925">((PH23*(PH22-PH24)))/((PH22*(PH23-PH24)))*100</f>
        <v>50.843357382380418</v>
      </c>
      <c r="PI25" s="20">
        <f t="shared" ref="PI25" si="926">((PI23*(PI22-PI24)))/((PI22*(PI23-PI24)))*100</f>
        <v>50.843357382380404</v>
      </c>
      <c r="PJ25" s="20">
        <f t="shared" ref="PJ25:PK25" si="927">((PJ23*(PJ22-PJ24)))/((PJ22*(PJ23-PJ24)))*100</f>
        <v>49.688319378832347</v>
      </c>
      <c r="PK25" s="20">
        <f t="shared" si="927"/>
        <v>49.688319378832333</v>
      </c>
      <c r="PL25" s="20">
        <f t="shared" ref="PL25" si="928">((PL23*(PL22-PL24)))/((PL22*(PL23-PL24)))*100</f>
        <v>51.818693277480158</v>
      </c>
      <c r="PM25" s="20">
        <f t="shared" ref="PM25" si="929">((PM23*(PM22-PM24)))/((PM22*(PM23-PM24)))*100</f>
        <v>51.818693277480158</v>
      </c>
      <c r="PN25" s="20">
        <f t="shared" ref="PN25" si="930">((PN23*(PN22-PN24)))/((PN22*(PN23-PN24)))*100</f>
        <v>55.640422368965346</v>
      </c>
      <c r="PO25" s="20">
        <f t="shared" ref="PO25" si="931">((PO23*(PO22-PO24)))/((PO22*(PO23-PO24)))*100</f>
        <v>55.640422368965339</v>
      </c>
      <c r="PP25" s="20">
        <f t="shared" ref="PP25" si="932">((PP23*(PP22-PP24)))/((PP22*(PP23-PP24)))*100</f>
        <v>53.61203585595171</v>
      </c>
      <c r="PQ25" s="20">
        <f t="shared" ref="PQ25" si="933">((PQ23*(PQ22-PQ24)))/((PQ22*(PQ23-PQ24)))*100</f>
        <v>53.612035855951703</v>
      </c>
      <c r="PR25" s="20">
        <f t="shared" ref="PR25" si="934">((PR23*(PR22-PR24)))/((PR22*(PR23-PR24)))*100</f>
        <v>51.676095864126381</v>
      </c>
      <c r="PS25" s="20">
        <f t="shared" ref="PS25:PT25" si="935">((PS23*(PS22-PS24)))/((PS22*(PS23-PS24)))*100</f>
        <v>51.676095864126367</v>
      </c>
      <c r="PT25" s="20">
        <f t="shared" si="935"/>
        <v>54.519278224447184</v>
      </c>
      <c r="PU25" s="20">
        <f t="shared" ref="PU25" si="936">((PU23*(PU22-PU24)))/((PU22*(PU23-PU24)))*100</f>
        <v>54.519278224447184</v>
      </c>
      <c r="PV25" s="20">
        <f t="shared" ref="PV25" si="937">((PV23*(PV22-PV24)))/((PV22*(PV23-PV24)))*100</f>
        <v>52.244815887325693</v>
      </c>
      <c r="PW25" s="20">
        <f t="shared" ref="PW25" si="938">((PW23*(PW22-PW24)))/((PW22*(PW23-PW24)))*100</f>
        <v>52.2448158873257</v>
      </c>
      <c r="PX25" s="20">
        <f t="shared" ref="PX25" si="939">((PX23*(PX22-PX24)))/((PX22*(PX23-PX24)))*100</f>
        <v>55.238856912497084</v>
      </c>
      <c r="PY25" s="20">
        <f t="shared" ref="PY25" si="940">((PY23*(PY22-PY24)))/((PY22*(PY23-PY24)))*100</f>
        <v>55.238856912497084</v>
      </c>
      <c r="PZ25" s="20">
        <f t="shared" ref="PZ25" si="941">((PZ23*(PZ22-PZ24)))/((PZ22*(PZ23-PZ24)))*100</f>
        <v>64.747805515959143</v>
      </c>
      <c r="QA25" s="20">
        <f t="shared" ref="QA25" si="942">((QA23*(QA22-QA24)))/((QA22*(QA23-QA24)))*100</f>
        <v>64.747805515959143</v>
      </c>
      <c r="QB25" s="20">
        <f t="shared" ref="QB25:QC25" si="943">((QB23*(QB22-QB24)))/((QB22*(QB23-QB24)))*100</f>
        <v>65.593108378638547</v>
      </c>
      <c r="QC25" s="20">
        <f t="shared" si="943"/>
        <v>65.593108378638547</v>
      </c>
      <c r="QD25" s="20">
        <f t="shared" ref="QD25" si="944">((QD23*(QD22-QD24)))/((QD22*(QD23-QD24)))*100</f>
        <v>62.513586144610812</v>
      </c>
      <c r="QE25" s="20">
        <f t="shared" ref="QE25" si="945">((QE23*(QE22-QE24)))/((QE22*(QE23-QE24)))*100</f>
        <v>62.513586144610834</v>
      </c>
      <c r="QF25" s="20">
        <f t="shared" ref="QF25" si="946">((QF23*(QF22-QF24)))/((QF22*(QF23-QF24)))*100</f>
        <v>61.136057995968493</v>
      </c>
      <c r="QG25" s="20">
        <f t="shared" ref="QG25" si="947">((QG23*(QG22-QG24)))/((QG22*(QG23-QG24)))*100</f>
        <v>61.136057995968486</v>
      </c>
      <c r="QH25" s="20">
        <f t="shared" ref="QH25" si="948">((QH23*(QH22-QH24)))/((QH22*(QH23-QH24)))*100</f>
        <v>62.681981480601543</v>
      </c>
      <c r="QI25" s="20">
        <f t="shared" ref="QI25" si="949">((QI23*(QI22-QI24)))/((QI22*(QI23-QI24)))*100</f>
        <v>62.681981480601564</v>
      </c>
      <c r="QJ25" s="20">
        <f t="shared" ref="QJ25" si="950">((QJ23*(QJ22-QJ24)))/((QJ22*(QJ23-QJ24)))*100</f>
        <v>58.543335573076526</v>
      </c>
      <c r="QK25" s="20">
        <f t="shared" ref="QK25:QL25" si="951">((QK23*(QK22-QK24)))/((QK22*(QK23-QK24)))*100</f>
        <v>58.543335573076519</v>
      </c>
      <c r="QL25" s="20">
        <f t="shared" si="951"/>
        <v>65.948884354462763</v>
      </c>
      <c r="QM25" s="20">
        <f t="shared" ref="QM25" si="952">((QM23*(QM22-QM24)))/((QM22*(QM23-QM24)))*100</f>
        <v>65.948884354462763</v>
      </c>
      <c r="QN25" s="20">
        <f t="shared" ref="QN25" si="953">((QN23*(QN22-QN24)))/((QN22*(QN23-QN24)))*100</f>
        <v>64.953519982713743</v>
      </c>
      <c r="QO25" s="20">
        <f t="shared" ref="QO25" si="954">((QO23*(QO22-QO24)))/((QO22*(QO23-QO24)))*100</f>
        <v>64.953519982713743</v>
      </c>
      <c r="QP25" s="20">
        <f t="shared" ref="QP25" si="955">((QP23*(QP22-QP24)))/((QP22*(QP23-QP24)))*100</f>
        <v>65.694541097358027</v>
      </c>
      <c r="QQ25" s="20">
        <f t="shared" ref="QQ25" si="956">((QQ23*(QQ22-QQ24)))/((QQ22*(QQ23-QQ24)))*100</f>
        <v>65.694541097358041</v>
      </c>
      <c r="QR25" s="20">
        <f t="shared" ref="QR25" si="957">((QR23*(QR22-QR24)))/((QR22*(QR23-QR24)))*100</f>
        <v>68.854343564469886</v>
      </c>
      <c r="QS25" s="20">
        <f t="shared" ref="QS25" si="958">((QS23*(QS22-QS24)))/((QS22*(QS23-QS24)))*100</f>
        <v>68.854343564469872</v>
      </c>
      <c r="QT25" s="20">
        <f t="shared" ref="QT25:QU25" si="959">((QT23*(QT22-QT24)))/((QT22*(QT23-QT24)))*100</f>
        <v>63.838733569093911</v>
      </c>
      <c r="QU25" s="20">
        <f t="shared" si="959"/>
        <v>63.838733569093911</v>
      </c>
      <c r="QV25" s="20">
        <f t="shared" ref="QV25" si="960">((QV23*(QV22-QV24)))/((QV22*(QV23-QV24)))*100</f>
        <v>63.948469022314889</v>
      </c>
      <c r="QW25" s="20">
        <f t="shared" ref="QW25" si="961">((QW23*(QW22-QW24)))/((QW22*(QW23-QW24)))*100</f>
        <v>63.948469022314903</v>
      </c>
      <c r="QX25" s="20">
        <f t="shared" ref="QX25" si="962">((QX23*(QX22-QX24)))/((QX22*(QX23-QX24)))*100</f>
        <v>70.426074861164864</v>
      </c>
      <c r="QY25" s="20">
        <f t="shared" ref="QY25" si="963">((QY23*(QY22-QY24)))/((QY22*(QY23-QY24)))*100</f>
        <v>70.426074861164864</v>
      </c>
      <c r="QZ25" s="20">
        <f t="shared" ref="QZ25" si="964">((QZ23*(QZ22-QZ24)))/((QZ22*(QZ23-QZ24)))*100</f>
        <v>67.686080968990865</v>
      </c>
      <c r="RA25" s="20">
        <f t="shared" ref="RA25" si="965">((RA23*(RA22-RA24)))/((RA22*(RA23-RA24)))*100</f>
        <v>67.686080968990865</v>
      </c>
      <c r="RB25" s="20">
        <f t="shared" ref="RB25" si="966">((RB23*(RB22-RB24)))/((RB22*(RB23-RB24)))*100</f>
        <v>65.533624743736027</v>
      </c>
      <c r="RC25" s="20">
        <f t="shared" ref="RC25:RD25" si="967">((RC23*(RC22-RC24)))/((RC22*(RC23-RC24)))*100</f>
        <v>65.533624743736013</v>
      </c>
      <c r="RD25" s="20">
        <f t="shared" si="967"/>
        <v>67.154375189763869</v>
      </c>
      <c r="RE25" s="20">
        <f t="shared" ref="RE25" si="968">((RE23*(RE22-RE24)))/((RE22*(RE23-RE24)))*100</f>
        <v>67.154375189763854</v>
      </c>
      <c r="RF25" s="20">
        <f t="shared" ref="RF25" si="969">((RF23*(RF22-RF24)))/((RF22*(RF23-RF24)))*100</f>
        <v>70.915334237639499</v>
      </c>
      <c r="RG25" s="20">
        <f t="shared" ref="RG25" si="970">((RG23*(RG22-RG24)))/((RG22*(RG23-RG24)))*100</f>
        <v>70.915334237639499</v>
      </c>
      <c r="RH25" s="20">
        <f t="shared" ref="RH25" si="971">((RH23*(RH22-RH24)))/((RH22*(RH23-RH24)))*100</f>
        <v>69.786727394643634</v>
      </c>
      <c r="RI25" s="20">
        <f t="shared" ref="RI25" si="972">((RI23*(RI22-RI24)))/((RI22*(RI23-RI24)))*100</f>
        <v>69.786727394643634</v>
      </c>
      <c r="RJ25" s="20">
        <f t="shared" ref="RJ25" si="973">((RJ23*(RJ22-RJ24)))/((RJ22*(RJ23-RJ24)))*100</f>
        <v>67.772754700612424</v>
      </c>
      <c r="RK25" s="20">
        <f t="shared" ref="RK25" si="974">((RK23*(RK22-RK24)))/((RK22*(RK23-RK24)))*100</f>
        <v>67.772754700612424</v>
      </c>
      <c r="RL25" s="20">
        <f t="shared" ref="RL25:RM25" si="975">((RL23*(RL22-RL24)))/((RL22*(RL23-RL24)))*100</f>
        <v>70.805284934072446</v>
      </c>
      <c r="RM25" s="20">
        <f t="shared" si="975"/>
        <v>70.805284934072432</v>
      </c>
      <c r="RN25" s="20">
        <f t="shared" ref="RN25" si="976">((RN23*(RN22-RN24)))/((RN22*(RN23-RN24)))*100</f>
        <v>67.577141910755117</v>
      </c>
      <c r="RO25" s="20">
        <f t="shared" ref="RO25" si="977">((RO23*(RO22-RO24)))/((RO22*(RO23-RO24)))*100</f>
        <v>67.577141910755103</v>
      </c>
      <c r="RP25" s="20">
        <f t="shared" ref="RP25" si="978">((RP23*(RP22-RP24)))/((RP22*(RP23-RP24)))*100</f>
        <v>74.269803496575051</v>
      </c>
      <c r="RQ25" s="20">
        <f t="shared" ref="RQ25" si="979">((RQ23*(RQ22-RQ24)))/((RQ22*(RQ23-RQ24)))*100</f>
        <v>74.269803496575037</v>
      </c>
      <c r="RR25" s="20">
        <f t="shared" ref="RR25" si="980">((RR23*(RR22-RR24)))/((RR22*(RR23-RR24)))*100</f>
        <v>73.247128863939864</v>
      </c>
      <c r="RS25" s="20">
        <f t="shared" ref="RS25" si="981">((RS23*(RS22-RS24)))/((RS22*(RS23-RS24)))*100</f>
        <v>73.247128863939864</v>
      </c>
      <c r="RT25" s="20">
        <f t="shared" ref="RT25" si="982">((RT23*(RT22-RT24)))/((RT22*(RT23-RT24)))*100</f>
        <v>76.374429352612211</v>
      </c>
      <c r="RU25" s="20">
        <f t="shared" ref="RU25:RV25" si="983">((RU23*(RU22-RU24)))/((RU22*(RU23-RU24)))*100</f>
        <v>76.374429352612196</v>
      </c>
      <c r="RV25" s="20">
        <f t="shared" si="983"/>
        <v>72.410104861678121</v>
      </c>
      <c r="RW25" s="20">
        <f t="shared" ref="RW25" si="984">((RW23*(RW22-RW24)))/((RW22*(RW23-RW24)))*100</f>
        <v>72.41010486167815</v>
      </c>
      <c r="RX25" s="20">
        <f t="shared" ref="RX25" si="985">((RX23*(RX22-RX24)))/((RX22*(RX23-RX24)))*100</f>
        <v>75.096234240722097</v>
      </c>
      <c r="RY25" s="20">
        <f t="shared" ref="RY25" si="986">((RY23*(RY22-RY24)))/((RY22*(RY23-RY24)))*100</f>
        <v>75.096234240722097</v>
      </c>
      <c r="RZ25" s="20">
        <f t="shared" ref="RZ25" si="987">((RZ23*(RZ22-RZ24)))/((RZ22*(RZ23-RZ24)))*100</f>
        <v>76.357815971550423</v>
      </c>
      <c r="SA25" s="20">
        <f t="shared" ref="SA25" si="988">((SA23*(SA22-SA24)))/((SA22*(SA23-SA24)))*100</f>
        <v>76.357815971550437</v>
      </c>
      <c r="SB25" s="20">
        <f t="shared" ref="SB25" si="989">((SB23*(SB22-SB24)))/((SB22*(SB23-SB24)))*100</f>
        <v>76.54718103462244</v>
      </c>
      <c r="SC25" s="20">
        <f t="shared" ref="SC25" si="990">((SC23*(SC22-SC24)))/((SC22*(SC23-SC24)))*100</f>
        <v>76.54718103462244</v>
      </c>
      <c r="SD25" s="20">
        <f t="shared" ref="SD25:SE25" si="991">((SD23*(SD22-SD24)))/((SD22*(SD23-SD24)))*100</f>
        <v>72.884544073106255</v>
      </c>
      <c r="SE25" s="20">
        <f t="shared" si="991"/>
        <v>72.884544073106255</v>
      </c>
      <c r="SF25" s="20">
        <f t="shared" ref="SF25" si="992">((SF23*(SF22-SF24)))/((SF22*(SF23-SF24)))*100</f>
        <v>71.871649493099994</v>
      </c>
      <c r="SG25" s="20">
        <f t="shared" ref="SG25" si="993">((SG23*(SG22-SG24)))/((SG22*(SG23-SG24)))*100</f>
        <v>71.871649493100008</v>
      </c>
      <c r="SH25" s="20">
        <f t="shared" ref="SH25" si="994">((SH23*(SH22-SH24)))/((SH22*(SH23-SH24)))*100</f>
        <v>70.976715379164389</v>
      </c>
      <c r="SI25" s="20">
        <f t="shared" ref="SI25" si="995">((SI23*(SI22-SI24)))/((SI22*(SI23-SI24)))*100</f>
        <v>70.976715379164389</v>
      </c>
      <c r="SJ25" s="20">
        <f t="shared" ref="SJ25" si="996">((SJ23*(SJ22-SJ24)))/((SJ22*(SJ23-SJ24)))*100</f>
        <v>72.241217859842806</v>
      </c>
      <c r="SK25" s="20">
        <f t="shared" ref="SK25" si="997">((SK23*(SK22-SK24)))/((SK22*(SK23-SK24)))*100</f>
        <v>72.241217859842777</v>
      </c>
      <c r="SL25" s="20">
        <f t="shared" ref="SL25" si="998">((SL23*(SL22-SL24)))/((SL22*(SL23-SL24)))*100</f>
        <v>77.745757226224413</v>
      </c>
      <c r="SM25" s="20">
        <f t="shared" ref="SM25:SN25" si="999">((SM23*(SM22-SM24)))/((SM22*(SM23-SM24)))*100</f>
        <v>77.745757226224413</v>
      </c>
      <c r="SN25" s="20">
        <f t="shared" si="999"/>
        <v>72.182635508677976</v>
      </c>
      <c r="SO25" s="20">
        <f t="shared" ref="SO25" si="1000">((SO23*(SO22-SO24)))/((SO22*(SO23-SO24)))*100</f>
        <v>72.182635508677961</v>
      </c>
      <c r="SP25" s="20">
        <f t="shared" ref="SP25" si="1001">((SP23*(SP22-SP24)))/((SP22*(SP23-SP24)))*100</f>
        <v>69.961487763167511</v>
      </c>
      <c r="SQ25" s="20">
        <f t="shared" ref="SQ25" si="1002">((SQ23*(SQ22-SQ24)))/((SQ22*(SQ23-SQ24)))*100</f>
        <v>69.961487763167497</v>
      </c>
      <c r="SR25" s="20">
        <f>((SR23*(SR22-SR24)))/((SR22*(SR23-SR24)))*100</f>
        <v>66.85060843814648</v>
      </c>
      <c r="SS25" s="20">
        <f t="shared" ref="SS25" si="1003">((SS23*(SS22-SS24)))/((SS22*(SS23-SS24)))*100</f>
        <v>66.850608438146494</v>
      </c>
      <c r="ST25" s="20">
        <f t="shared" ref="ST25" si="1004">((ST23*(ST22-ST24)))/((ST22*(ST23-ST24)))*100</f>
        <v>70.190908079554873</v>
      </c>
      <c r="SU25" s="20">
        <f t="shared" ref="SU25" si="1005">((SU23*(SU22-SU24)))/((SU22*(SU23-SU24)))*100</f>
        <v>70.190908079554873</v>
      </c>
      <c r="SV25" s="20">
        <f t="shared" ref="SV25:SW25" si="1006">((SV23*(SV22-SV24)))/((SV22*(SV23-SV24)))*100</f>
        <v>69.866558313384601</v>
      </c>
      <c r="SW25" s="20">
        <f t="shared" si="1006"/>
        <v>69.866558313384601</v>
      </c>
      <c r="SX25" s="20">
        <f t="shared" ref="SX25" si="1007">((SX23*(SX22-SX24)))/((SX22*(SX23-SX24)))*100</f>
        <v>72.595461172368701</v>
      </c>
      <c r="SY25" s="20">
        <f t="shared" ref="SY25" si="1008">((SY23*(SY22-SY24)))/((SY22*(SY23-SY24)))*100</f>
        <v>72.595461172368701</v>
      </c>
      <c r="SZ25" s="20">
        <f t="shared" ref="SZ25" si="1009">((SZ23*(SZ22-SZ24)))/((SZ22*(SZ23-SZ24)))*100</f>
        <v>75.687457672183228</v>
      </c>
      <c r="TA25" s="20">
        <f t="shared" ref="TA25" si="1010">((TA23*(TA22-TA24)))/((TA22*(TA23-TA24)))*100</f>
        <v>75.687457672183243</v>
      </c>
      <c r="TB25" s="20">
        <f t="shared" ref="TB25" si="1011">((TB23*(TB22-TB24)))/((TB22*(TB23-TB24)))*100</f>
        <v>74.217888289280353</v>
      </c>
      <c r="TC25" s="20">
        <f t="shared" ref="TC25" si="1012">((TC23*(TC22-TC24)))/((TC22*(TC23-TC24)))*100</f>
        <v>74.217888289280353</v>
      </c>
      <c r="TD25" s="20">
        <f t="shared" ref="TD25" si="1013">((TD23*(TD22-TD24)))/((TD22*(TD23-TD24)))*100</f>
        <v>73.294312496084117</v>
      </c>
      <c r="TE25" s="20">
        <f t="shared" ref="TE25:TF25" si="1014">((TE23*(TE22-TE24)))/((TE22*(TE23-TE24)))*100</f>
        <v>73.294312496084103</v>
      </c>
      <c r="TF25" s="20">
        <f t="shared" si="1014"/>
        <v>76.036288245854379</v>
      </c>
      <c r="TG25" s="20">
        <f t="shared" ref="TG25" si="1015">((TG23*(TG22-TG24)))/((TG22*(TG23-TG24)))*100</f>
        <v>76.036288245854365</v>
      </c>
      <c r="TH25" s="20">
        <f t="shared" ref="TH25" si="1016">((TH23*(TH22-TH24)))/((TH22*(TH23-TH24)))*100</f>
        <v>72.007647206973019</v>
      </c>
      <c r="TI25" s="20">
        <f t="shared" ref="TI25" si="1017">((TI23*(TI22-TI24)))/((TI22*(TI23-TI24)))*100</f>
        <v>72.007647206973019</v>
      </c>
      <c r="TJ25" s="20">
        <f t="shared" ref="TJ25" si="1018">((TJ23*(TJ22-TJ24)))/((TJ22*(TJ23-TJ24)))*100</f>
        <v>78.918700731807192</v>
      </c>
      <c r="TK25" s="20">
        <f t="shared" ref="TK25" si="1019">((TK23*(TK22-TK24)))/((TK22*(TK23-TK24)))*100</f>
        <v>78.918700731807192</v>
      </c>
      <c r="TL25" s="20">
        <f t="shared" ref="TL25" si="1020">((TL23*(TL22-TL24)))/((TL22*(TL23-TL24)))*100</f>
        <v>78.791461013165303</v>
      </c>
      <c r="TM25" s="20">
        <f t="shared" ref="TM25" si="1021">((TM23*(TM22-TM24)))/((TM22*(TM23-TM24)))*100</f>
        <v>78.791461013165303</v>
      </c>
      <c r="TN25" s="20">
        <f t="shared" ref="TN25:TO25" si="1022">((TN23*(TN22-TN24)))/((TN22*(TN23-TN24)))*100</f>
        <v>76.652349023370135</v>
      </c>
      <c r="TO25" s="20">
        <f t="shared" si="1022"/>
        <v>76.652349023370135</v>
      </c>
      <c r="TP25" s="20">
        <f t="shared" ref="TP25" si="1023">((TP23*(TP22-TP24)))/((TP22*(TP23-TP24)))*100</f>
        <v>76.120119947471693</v>
      </c>
      <c r="TQ25" s="20">
        <f t="shared" ref="TQ25" si="1024">((TQ23*(TQ22-TQ24)))/((TQ22*(TQ23-TQ24)))*100</f>
        <v>76.120119947471693</v>
      </c>
      <c r="TR25" s="20">
        <f t="shared" ref="TR25" si="1025">((TR23*(TR22-TR24)))/((TR22*(TR23-TR24)))*100</f>
        <v>77.830610103686297</v>
      </c>
      <c r="TS25" s="20">
        <f t="shared" ref="TS25" si="1026">((TS23*(TS22-TS24)))/((TS22*(TS23-TS24)))*100</f>
        <v>77.830610103686297</v>
      </c>
      <c r="TT25" s="20">
        <f t="shared" ref="TT25" si="1027">((TT23*(TT22-TT24)))/((TT22*(TT23-TT24)))*100</f>
        <v>79.844137318659023</v>
      </c>
      <c r="TU25" s="20">
        <f t="shared" ref="TU25:UX25" si="1028">((TU23*(TU22-TU24)))/((TU22*(TU23-TU24)))*100</f>
        <v>79.844137318659037</v>
      </c>
      <c r="TV25" s="20" t="e">
        <f t="shared" si="1028"/>
        <v>#DIV/0!</v>
      </c>
      <c r="TW25" s="20" t="e">
        <f t="shared" si="1028"/>
        <v>#DIV/0!</v>
      </c>
      <c r="TX25" s="20" t="e">
        <f t="shared" si="1028"/>
        <v>#DIV/0!</v>
      </c>
      <c r="TY25" s="20" t="e">
        <f t="shared" si="1028"/>
        <v>#DIV/0!</v>
      </c>
      <c r="TZ25" s="20" t="e">
        <f t="shared" si="1028"/>
        <v>#DIV/0!</v>
      </c>
      <c r="UA25" s="20" t="e">
        <f t="shared" ref="UA25:UY25" si="1029">((UA23*(UA22-UA24)))/((UA22*(UA23-UA24)))*100</f>
        <v>#DIV/0!</v>
      </c>
      <c r="UB25" s="20" t="e">
        <f t="shared" si="1028"/>
        <v>#DIV/0!</v>
      </c>
      <c r="UC25" s="20" t="e">
        <f t="shared" si="1028"/>
        <v>#DIV/0!</v>
      </c>
      <c r="UD25" s="20" t="e">
        <f t="shared" si="1028"/>
        <v>#DIV/0!</v>
      </c>
      <c r="UE25" s="20" t="e">
        <f t="shared" si="1028"/>
        <v>#DIV/0!</v>
      </c>
      <c r="UF25" s="20" t="e">
        <f t="shared" si="1028"/>
        <v>#DIV/0!</v>
      </c>
      <c r="UG25" s="20" t="e">
        <f t="shared" ref="UG25:UY25" si="1030">((UG23*(UG22-UG24)))/((UG22*(UG23-UG24)))*100</f>
        <v>#DIV/0!</v>
      </c>
      <c r="UH25" s="20" t="e">
        <f t="shared" si="1028"/>
        <v>#DIV/0!</v>
      </c>
      <c r="UI25" s="20" t="e">
        <f t="shared" si="1028"/>
        <v>#DIV/0!</v>
      </c>
      <c r="UJ25" s="20" t="e">
        <f t="shared" si="1028"/>
        <v>#DIV/0!</v>
      </c>
      <c r="UK25" s="20" t="e">
        <f t="shared" si="1028"/>
        <v>#DIV/0!</v>
      </c>
      <c r="UL25" s="20" t="e">
        <f t="shared" si="1028"/>
        <v>#DIV/0!</v>
      </c>
      <c r="UM25" s="20" t="e">
        <f t="shared" ref="UM25:UY25" si="1031">((UM23*(UM22-UM24)))/((UM22*(UM23-UM24)))*100</f>
        <v>#DIV/0!</v>
      </c>
      <c r="UN25" s="20" t="e">
        <f t="shared" si="1028"/>
        <v>#DIV/0!</v>
      </c>
      <c r="UO25" s="20" t="e">
        <f t="shared" si="1028"/>
        <v>#DIV/0!</v>
      </c>
      <c r="UP25" s="20" t="e">
        <f t="shared" si="1028"/>
        <v>#DIV/0!</v>
      </c>
      <c r="UQ25" s="20" t="e">
        <f t="shared" si="1028"/>
        <v>#DIV/0!</v>
      </c>
      <c r="UR25" s="20" t="e">
        <f t="shared" si="1028"/>
        <v>#DIV/0!</v>
      </c>
      <c r="US25" s="20" t="e">
        <f t="shared" ref="US25:UY25" si="1032">((US23*(US22-US24)))/((US22*(US23-US24)))*100</f>
        <v>#DIV/0!</v>
      </c>
      <c r="UT25" s="20" t="e">
        <f t="shared" si="1028"/>
        <v>#DIV/0!</v>
      </c>
      <c r="UU25" s="20" t="e">
        <f t="shared" si="1028"/>
        <v>#DIV/0!</v>
      </c>
      <c r="UV25" s="20" t="e">
        <f t="shared" si="1028"/>
        <v>#DIV/0!</v>
      </c>
      <c r="UW25" s="20" t="e">
        <f t="shared" si="1028"/>
        <v>#DIV/0!</v>
      </c>
      <c r="UX25" s="20" t="e">
        <f t="shared" si="1028"/>
        <v>#DIV/0!</v>
      </c>
      <c r="UY25" s="20" t="e">
        <f t="shared" ref="UY25" si="1033">((UY23*(UY22-UY24)))/((UY22*(UY23-UY24)))*100</f>
        <v>#DIV/0!</v>
      </c>
    </row>
    <row r="26" spans="2:587" ht="16" thickBot="1" x14ac:dyDescent="0.25">
      <c r="B26" s="54" t="s">
        <v>11</v>
      </c>
      <c r="C26" s="5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31"/>
      <c r="CC26" s="31"/>
      <c r="CD26" s="31"/>
      <c r="CE26" s="31"/>
      <c r="CF26" s="31"/>
      <c r="CG26" s="31"/>
      <c r="CH26" s="31"/>
      <c r="CI26" s="31"/>
      <c r="CJ26" s="31"/>
      <c r="CK26" s="31"/>
      <c r="CL26" s="31"/>
      <c r="CM26" s="31"/>
      <c r="CN26" s="31"/>
      <c r="CO26" s="31"/>
      <c r="CP26" s="31"/>
      <c r="CQ26" s="31"/>
      <c r="CR26" s="31"/>
      <c r="CS26" s="31"/>
      <c r="CT26" s="31"/>
      <c r="CU26" s="31"/>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1"/>
      <c r="ED26" s="31"/>
      <c r="EE26" s="31"/>
      <c r="EF26" s="31"/>
      <c r="EG26" s="31"/>
      <c r="EH26" s="31"/>
      <c r="EI26" s="31"/>
      <c r="EJ26" s="31"/>
      <c r="EK26" s="31"/>
      <c r="EL26" s="31"/>
      <c r="EM26" s="31"/>
      <c r="EN26" s="31"/>
      <c r="EO26" s="31"/>
      <c r="EP26" s="31"/>
      <c r="EQ26" s="31"/>
      <c r="ER26" s="31"/>
      <c r="ES26" s="31"/>
      <c r="ET26" s="31"/>
      <c r="EU26" s="31"/>
      <c r="EV26" s="31"/>
      <c r="EW26" s="31"/>
      <c r="EX26" s="31"/>
      <c r="EY26" s="31"/>
      <c r="EZ26" s="31"/>
      <c r="FA26" s="31"/>
      <c r="FB26" s="31"/>
      <c r="FC26" s="31"/>
      <c r="FD26" s="31"/>
      <c r="FE26" s="31"/>
      <c r="FF26" s="31"/>
      <c r="FG26" s="31"/>
      <c r="FH26" s="31"/>
      <c r="FI26" s="31"/>
      <c r="FJ26" s="31"/>
      <c r="FK26" s="31"/>
      <c r="FL26" s="31"/>
      <c r="FM26" s="31"/>
      <c r="FN26" s="31"/>
      <c r="FO26" s="31"/>
      <c r="FP26" s="31"/>
      <c r="FQ26" s="31"/>
      <c r="FR26" s="31"/>
      <c r="FS26" s="31"/>
      <c r="FT26" s="31"/>
      <c r="FU26" s="31"/>
      <c r="FV26" s="31"/>
      <c r="FW26" s="31"/>
      <c r="FX26" s="31"/>
      <c r="FY26" s="31"/>
      <c r="FZ26" s="31"/>
      <c r="GA26" s="31"/>
      <c r="GB26" s="31"/>
      <c r="GC26" s="31"/>
      <c r="GD26" s="31"/>
      <c r="GE26" s="31"/>
      <c r="GF26" s="31"/>
      <c r="GG26" s="31"/>
      <c r="GH26" s="31"/>
      <c r="GI26" s="31"/>
      <c r="GJ26" s="31"/>
      <c r="GK26" s="31"/>
      <c r="GL26" s="31"/>
      <c r="GM26" s="31"/>
      <c r="GN26" s="31"/>
      <c r="GO26" s="31"/>
      <c r="GP26" s="31"/>
      <c r="GQ26" s="31"/>
      <c r="GR26" s="31"/>
      <c r="GS26" s="31"/>
      <c r="GT26" s="31"/>
      <c r="GU26" s="31"/>
      <c r="GV26" s="31"/>
      <c r="GW26" s="31"/>
      <c r="GX26" s="31"/>
      <c r="GY26" s="31"/>
      <c r="GZ26" s="31"/>
      <c r="HA26" s="31"/>
      <c r="HB26" s="31"/>
      <c r="HC26" s="31"/>
      <c r="HD26" s="31"/>
      <c r="HE26" s="31"/>
      <c r="HF26" s="31"/>
      <c r="HG26" s="31"/>
      <c r="HH26" s="31"/>
      <c r="HI26" s="31"/>
      <c r="HJ26" s="31"/>
      <c r="HK26" s="31"/>
      <c r="HL26" s="31"/>
      <c r="HM26" s="31"/>
      <c r="HN26" s="31"/>
      <c r="HO26" s="31"/>
      <c r="HP26" s="31"/>
      <c r="HQ26" s="31"/>
      <c r="HR26" s="31"/>
      <c r="HS26" s="31"/>
      <c r="HT26" s="31"/>
      <c r="HU26" s="31"/>
      <c r="HV26" s="31"/>
      <c r="HW26" s="31"/>
      <c r="HX26" s="31"/>
      <c r="HY26" s="31"/>
      <c r="HZ26" s="31"/>
      <c r="IA26" s="31"/>
      <c r="IB26" s="31"/>
      <c r="IC26" s="31"/>
      <c r="ID26" s="31"/>
      <c r="IE26" s="31"/>
      <c r="IF26" s="31"/>
      <c r="IG26" s="31"/>
      <c r="IH26" s="31"/>
      <c r="II26" s="31"/>
      <c r="IJ26" s="31"/>
      <c r="IK26" s="31"/>
      <c r="IL26" s="31"/>
      <c r="IM26" s="31"/>
      <c r="IN26" s="31"/>
      <c r="IO26" s="31"/>
      <c r="IP26" s="31"/>
      <c r="IQ26" s="31"/>
      <c r="IR26" s="31"/>
      <c r="IS26" s="31"/>
      <c r="IT26" s="31"/>
      <c r="IU26" s="31"/>
      <c r="IV26" s="31"/>
      <c r="IW26" s="31"/>
      <c r="IX26" s="31"/>
      <c r="IY26" s="31"/>
      <c r="IZ26" s="31"/>
      <c r="JA26" s="31"/>
      <c r="JB26" s="31"/>
      <c r="JC26" s="31"/>
      <c r="JD26" s="31"/>
      <c r="JE26" s="31"/>
      <c r="JF26" s="31"/>
      <c r="JG26" s="31"/>
      <c r="JH26" s="31"/>
      <c r="JI26" s="31"/>
      <c r="JJ26" s="31"/>
      <c r="JK26" s="31"/>
      <c r="JL26" s="31"/>
      <c r="JM26" s="31"/>
      <c r="JN26" s="31"/>
      <c r="JO26" s="31"/>
      <c r="JP26" s="31"/>
      <c r="JQ26" s="31"/>
      <c r="JR26" s="31"/>
      <c r="JS26" s="31"/>
      <c r="JT26" s="31"/>
      <c r="JU26" s="31"/>
      <c r="JV26" s="31"/>
      <c r="JW26" s="31"/>
      <c r="JX26" s="31"/>
      <c r="JY26" s="31"/>
      <c r="JZ26" s="31"/>
      <c r="KA26" s="31"/>
      <c r="KB26" s="31"/>
      <c r="KC26" s="31"/>
      <c r="KD26" s="31"/>
      <c r="KE26" s="31"/>
      <c r="KF26" s="31"/>
      <c r="KG26" s="31"/>
      <c r="KH26" s="31"/>
      <c r="KI26" s="31"/>
      <c r="KJ26" s="31"/>
      <c r="KK26" s="31"/>
      <c r="KL26" s="31"/>
      <c r="KM26" s="31"/>
      <c r="KN26" s="31"/>
      <c r="KO26" s="31"/>
      <c r="KP26" s="31"/>
      <c r="KQ26" s="31"/>
      <c r="KR26" s="31"/>
      <c r="KS26" s="31"/>
      <c r="KT26" s="31"/>
      <c r="KU26" s="31"/>
      <c r="KV26" s="31"/>
      <c r="KW26" s="31"/>
      <c r="KX26" s="31"/>
      <c r="KY26" s="31"/>
      <c r="KZ26" s="31"/>
      <c r="LA26" s="31"/>
      <c r="LB26" s="31"/>
      <c r="LC26" s="31"/>
      <c r="LD26" s="31"/>
      <c r="LE26" s="31"/>
      <c r="LF26" s="31"/>
      <c r="LG26" s="31"/>
      <c r="LH26" s="31"/>
      <c r="LI26" s="31"/>
      <c r="LJ26" s="31"/>
      <c r="LK26" s="31"/>
      <c r="LL26" s="31"/>
      <c r="LM26" s="31"/>
      <c r="LN26" s="31"/>
      <c r="LO26" s="31"/>
      <c r="LP26" s="31"/>
      <c r="LQ26" s="31"/>
      <c r="LR26" s="31"/>
      <c r="LS26" s="31"/>
      <c r="LT26" s="31"/>
      <c r="LU26" s="31"/>
      <c r="LV26" s="31"/>
      <c r="LW26" s="31"/>
      <c r="LX26" s="31"/>
      <c r="LY26" s="31"/>
      <c r="LZ26" s="31"/>
      <c r="MA26" s="31"/>
      <c r="MB26" s="31"/>
      <c r="MC26" s="31"/>
      <c r="MD26" s="31"/>
      <c r="ME26" s="31"/>
      <c r="MF26" s="31"/>
      <c r="MG26" s="31"/>
      <c r="MH26" s="31"/>
      <c r="MI26" s="31"/>
      <c r="MJ26" s="31"/>
      <c r="MK26" s="31"/>
      <c r="ML26" s="31"/>
      <c r="MM26" s="31"/>
      <c r="MN26" s="31"/>
      <c r="MO26" s="31"/>
      <c r="MP26" s="31"/>
      <c r="MQ26" s="31"/>
      <c r="MR26" s="31"/>
      <c r="MS26" s="31"/>
      <c r="MT26" s="31"/>
      <c r="MU26" s="31"/>
      <c r="MV26" s="31"/>
      <c r="MW26" s="31"/>
      <c r="MX26" s="31"/>
      <c r="MY26" s="31"/>
      <c r="MZ26" s="31"/>
      <c r="NA26" s="31"/>
      <c r="NB26" s="31"/>
      <c r="NC26" s="31"/>
      <c r="ND26" s="31"/>
      <c r="NE26" s="31"/>
      <c r="NF26" s="31"/>
      <c r="NG26" s="31"/>
      <c r="NH26" s="31"/>
      <c r="NI26" s="31"/>
      <c r="NJ26" s="31"/>
      <c r="NK26" s="31"/>
      <c r="NL26" s="31"/>
      <c r="NM26" s="31"/>
      <c r="NN26" s="31"/>
      <c r="NO26" s="31"/>
      <c r="NP26" s="31"/>
      <c r="NQ26" s="31"/>
      <c r="NR26" s="31"/>
      <c r="NS26" s="31"/>
      <c r="NT26" s="31"/>
      <c r="NU26" s="31"/>
      <c r="NV26" s="31"/>
      <c r="NW26" s="31"/>
      <c r="NX26" s="31"/>
      <c r="NY26" s="31"/>
      <c r="NZ26" s="31"/>
      <c r="OA26" s="31"/>
      <c r="OB26" s="31"/>
      <c r="OC26" s="31"/>
      <c r="OD26" s="31"/>
      <c r="OE26" s="31"/>
      <c r="OF26" s="31"/>
      <c r="OG26" s="31"/>
      <c r="OH26" s="31"/>
      <c r="OI26" s="31"/>
      <c r="OJ26" s="31"/>
      <c r="OK26" s="31"/>
      <c r="OL26" s="31"/>
      <c r="OM26" s="31"/>
      <c r="ON26" s="31"/>
      <c r="OO26" s="31"/>
      <c r="OP26" s="31"/>
      <c r="OQ26" s="31"/>
      <c r="OR26" s="31"/>
      <c r="OS26" s="31"/>
      <c r="OT26" s="31"/>
      <c r="OU26" s="31"/>
      <c r="OV26" s="31"/>
      <c r="OW26" s="31"/>
      <c r="OX26" s="31"/>
      <c r="OY26" s="31"/>
      <c r="OZ26" s="31"/>
      <c r="PA26" s="31"/>
      <c r="PB26" s="31"/>
      <c r="PC26" s="31"/>
      <c r="PD26" s="31"/>
      <c r="PE26" s="31"/>
      <c r="PF26" s="31"/>
      <c r="PG26" s="31"/>
      <c r="PH26" s="31"/>
      <c r="PI26" s="31"/>
      <c r="PJ26" s="31"/>
      <c r="PK26" s="31"/>
      <c r="PL26" s="31"/>
      <c r="PM26" s="31"/>
      <c r="PN26" s="31"/>
      <c r="PO26" s="31"/>
      <c r="PP26" s="31"/>
      <c r="PQ26" s="31"/>
      <c r="PR26" s="31"/>
      <c r="PS26" s="31"/>
      <c r="PT26" s="31"/>
      <c r="PU26" s="31"/>
      <c r="PV26" s="31"/>
      <c r="PW26" s="31"/>
      <c r="PX26" s="31"/>
      <c r="PY26" s="31"/>
      <c r="PZ26" s="31"/>
      <c r="QA26" s="31"/>
      <c r="QB26" s="31"/>
      <c r="QC26" s="31"/>
      <c r="QD26" s="31"/>
      <c r="QE26" s="31"/>
      <c r="QF26" s="31"/>
      <c r="QG26" s="31"/>
      <c r="QH26" s="31"/>
      <c r="QI26" s="31"/>
      <c r="QJ26" s="31"/>
      <c r="QK26" s="31"/>
      <c r="QL26" s="31"/>
      <c r="QM26" s="31"/>
      <c r="QN26" s="31"/>
      <c r="QO26" s="31"/>
      <c r="QP26" s="31"/>
      <c r="QQ26" s="31"/>
      <c r="QR26" s="31"/>
      <c r="QS26" s="31"/>
      <c r="QT26" s="31"/>
      <c r="QU26" s="31"/>
      <c r="QV26" s="31"/>
      <c r="QW26" s="31"/>
      <c r="QX26" s="31"/>
      <c r="QY26" s="31"/>
      <c r="QZ26" s="31"/>
      <c r="RA26" s="31"/>
      <c r="RB26" s="31"/>
      <c r="RC26" s="31"/>
      <c r="RD26" s="31"/>
      <c r="RE26" s="31"/>
      <c r="RF26" s="31"/>
      <c r="RG26" s="31"/>
      <c r="RH26" s="31"/>
      <c r="RI26" s="31"/>
      <c r="RJ26" s="31"/>
      <c r="RK26" s="31"/>
      <c r="RL26" s="31"/>
      <c r="RM26" s="31"/>
      <c r="RN26" s="31"/>
      <c r="RO26" s="31"/>
      <c r="RP26" s="31"/>
      <c r="RQ26" s="31"/>
      <c r="RR26" s="31"/>
      <c r="RS26" s="31"/>
      <c r="RT26" s="31"/>
      <c r="RU26" s="31"/>
      <c r="RV26" s="31"/>
      <c r="RW26" s="31"/>
      <c r="RX26" s="31"/>
      <c r="RY26" s="31"/>
      <c r="RZ26" s="31"/>
      <c r="SA26" s="31"/>
      <c r="SB26" s="31"/>
      <c r="SC26" s="31"/>
      <c r="SD26" s="31"/>
      <c r="SE26" s="31"/>
      <c r="SF26" s="31"/>
      <c r="SG26" s="31"/>
      <c r="SH26" s="31"/>
      <c r="SI26" s="31"/>
      <c r="SJ26" s="31"/>
      <c r="SK26" s="31"/>
      <c r="SL26" s="31"/>
      <c r="SM26" s="31"/>
      <c r="SN26" s="31"/>
      <c r="SO26" s="31"/>
      <c r="SP26" s="31"/>
      <c r="SQ26" s="31"/>
      <c r="SR26" s="31"/>
      <c r="SS26" s="31"/>
      <c r="ST26" s="31"/>
      <c r="SU26" s="31"/>
      <c r="SV26" s="31"/>
      <c r="SW26" s="31"/>
      <c r="SX26" s="31"/>
      <c r="SY26" s="31"/>
      <c r="SZ26" s="31"/>
      <c r="TA26" s="31"/>
      <c r="TB26" s="31"/>
      <c r="TC26" s="31"/>
      <c r="TD26" s="31"/>
      <c r="TE26" s="31"/>
      <c r="TF26" s="31"/>
      <c r="TG26" s="31"/>
      <c r="TH26" s="31"/>
      <c r="TI26" s="31"/>
      <c r="TJ26" s="31"/>
      <c r="TK26" s="31"/>
      <c r="TL26" s="31"/>
      <c r="TM26" s="31"/>
      <c r="TN26" s="31"/>
      <c r="TO26" s="31"/>
      <c r="TP26" s="31"/>
      <c r="TQ26" s="31"/>
      <c r="TR26" s="31"/>
      <c r="TS26" s="31"/>
      <c r="TT26" s="31"/>
      <c r="TU26" s="32"/>
      <c r="TV26" s="31"/>
      <c r="TW26" s="31"/>
      <c r="TX26" s="31"/>
      <c r="TY26" s="31"/>
      <c r="TZ26" s="31"/>
      <c r="UA26" s="32"/>
      <c r="UB26" s="31"/>
      <c r="UC26" s="31"/>
      <c r="UD26" s="31"/>
      <c r="UE26" s="31"/>
      <c r="UF26" s="31"/>
      <c r="UG26" s="32"/>
      <c r="UH26" s="31"/>
      <c r="UI26" s="31"/>
      <c r="UJ26" s="31"/>
      <c r="UK26" s="31"/>
      <c r="UL26" s="31"/>
      <c r="UM26" s="32"/>
      <c r="UN26" s="31"/>
      <c r="UO26" s="31"/>
      <c r="UP26" s="31"/>
      <c r="UQ26" s="31"/>
      <c r="UR26" s="31"/>
      <c r="US26" s="32"/>
      <c r="UT26" s="31"/>
      <c r="UU26" s="31"/>
      <c r="UV26" s="31"/>
      <c r="UW26" s="31"/>
      <c r="UX26" s="31"/>
      <c r="UY26" s="32"/>
    </row>
    <row r="27" spans="2:587" x14ac:dyDescent="0.2">
      <c r="D27" s="4"/>
      <c r="E27" s="5"/>
      <c r="F27" s="4"/>
      <c r="G27" s="5"/>
      <c r="H27" s="4"/>
      <c r="I27" s="5"/>
      <c r="J27" s="4"/>
      <c r="K27" s="5"/>
      <c r="L27" s="4"/>
      <c r="M27" s="5"/>
      <c r="N27" s="4"/>
      <c r="O27" s="5"/>
      <c r="P27" s="4"/>
      <c r="Q27" s="5"/>
      <c r="R27" s="4"/>
      <c r="S27" s="5"/>
      <c r="T27" s="4"/>
      <c r="U27" s="5"/>
      <c r="V27" s="4"/>
      <c r="W27" s="5"/>
      <c r="X27" s="4"/>
      <c r="Y27" s="5"/>
      <c r="Z27" s="4"/>
      <c r="AA27" s="5"/>
      <c r="AB27" s="4"/>
      <c r="AC27" s="5"/>
      <c r="AD27" s="4"/>
      <c r="AE27" s="5"/>
      <c r="AF27" s="4"/>
      <c r="AG27" s="5"/>
      <c r="AH27" s="4"/>
      <c r="AI27" s="5"/>
      <c r="AJ27" s="4"/>
      <c r="AK27" s="5"/>
      <c r="AL27" s="4"/>
      <c r="AM27" s="5"/>
      <c r="AN27" s="4"/>
      <c r="AO27" s="5"/>
      <c r="AP27" s="4"/>
      <c r="AQ27" s="5"/>
      <c r="AR27" s="4"/>
      <c r="AS27" s="5"/>
      <c r="AT27" s="4"/>
      <c r="AU27" s="5"/>
      <c r="AV27" s="4"/>
      <c r="AW27" s="5"/>
      <c r="AX27" s="4"/>
      <c r="AY27" s="5"/>
      <c r="AZ27" s="4"/>
      <c r="BA27" s="5"/>
      <c r="BB27" s="4"/>
      <c r="BC27" s="5"/>
      <c r="BD27" s="4"/>
      <c r="BE27" s="5"/>
      <c r="BF27" s="4"/>
      <c r="BG27" s="5"/>
      <c r="BH27" s="4"/>
      <c r="BI27" s="5"/>
      <c r="BJ27" s="4"/>
      <c r="BK27" s="5"/>
      <c r="BL27" s="4"/>
      <c r="BM27" s="5"/>
      <c r="BN27" s="4"/>
      <c r="BO27" s="5"/>
      <c r="BP27" s="4"/>
      <c r="BQ27" s="5"/>
      <c r="BR27" s="4"/>
      <c r="BS27" s="5"/>
      <c r="BT27" s="4"/>
      <c r="BU27" s="5"/>
      <c r="BV27" s="4"/>
      <c r="BW27" s="5"/>
      <c r="BX27" s="4"/>
      <c r="BY27" s="5"/>
      <c r="BZ27" s="4"/>
      <c r="CA27" s="5"/>
      <c r="CB27" s="4"/>
      <c r="CC27" s="5"/>
      <c r="CD27" s="4"/>
      <c r="CE27" s="5"/>
      <c r="CF27" s="4"/>
      <c r="CG27" s="5"/>
      <c r="CH27" s="4"/>
      <c r="CI27" s="5"/>
      <c r="CJ27" s="4"/>
      <c r="CK27" s="5"/>
      <c r="CL27" s="4"/>
      <c r="CM27" s="5"/>
      <c r="CN27" s="4"/>
      <c r="CO27" s="5"/>
      <c r="CP27" s="4"/>
      <c r="CQ27" s="5"/>
      <c r="CR27" s="4"/>
      <c r="CS27" s="5"/>
      <c r="CT27" s="4"/>
      <c r="CU27" s="5"/>
      <c r="CV27" s="4"/>
      <c r="CW27" s="5"/>
      <c r="CX27" s="4"/>
      <c r="CY27" s="5"/>
      <c r="CZ27" s="4"/>
      <c r="DA27" s="5"/>
      <c r="DB27" s="4"/>
      <c r="DC27" s="5"/>
      <c r="DD27" s="4"/>
      <c r="DE27" s="5"/>
      <c r="DF27" s="4"/>
      <c r="DG27" s="5"/>
      <c r="DH27" s="4"/>
      <c r="DI27" s="5"/>
      <c r="DJ27" s="4"/>
      <c r="DK27" s="5"/>
      <c r="DL27" s="4"/>
      <c r="DM27" s="5"/>
      <c r="DN27" s="4"/>
      <c r="DO27" s="5"/>
      <c r="DP27" s="4"/>
      <c r="DQ27" s="5"/>
      <c r="DR27" s="4"/>
      <c r="DS27" s="5"/>
      <c r="DT27" s="4"/>
      <c r="DU27" s="5"/>
      <c r="DV27" s="4"/>
      <c r="DW27" s="5"/>
      <c r="DX27" s="4"/>
      <c r="DY27" s="5"/>
      <c r="DZ27" s="4"/>
      <c r="EA27" s="5"/>
      <c r="EB27" s="4"/>
      <c r="EC27" s="5"/>
      <c r="ED27" s="4"/>
      <c r="EE27" s="5"/>
      <c r="EF27" s="4"/>
      <c r="EG27" s="5"/>
      <c r="EH27" s="4"/>
      <c r="EI27" s="5"/>
      <c r="EJ27" s="4"/>
      <c r="EK27" s="5"/>
      <c r="EL27" s="4"/>
      <c r="EM27" s="5"/>
      <c r="EN27" s="4"/>
      <c r="EO27" s="5"/>
      <c r="EP27" s="4"/>
      <c r="EQ27" s="5"/>
      <c r="ER27" s="4"/>
      <c r="ES27" s="5"/>
      <c r="ET27" s="4"/>
      <c r="EU27" s="5"/>
      <c r="EV27" s="4"/>
      <c r="EW27" s="5"/>
      <c r="EX27" s="4"/>
      <c r="EY27" s="5"/>
      <c r="EZ27" s="4"/>
      <c r="FA27" s="5"/>
      <c r="FB27" s="4"/>
      <c r="FC27" s="5"/>
      <c r="FD27" s="4"/>
      <c r="FE27" s="5"/>
      <c r="FF27" s="4"/>
      <c r="FG27" s="5"/>
      <c r="FH27" s="4"/>
      <c r="FI27" s="5"/>
      <c r="FJ27" s="4"/>
      <c r="FK27" s="5"/>
      <c r="FL27" s="4"/>
      <c r="FM27" s="5"/>
      <c r="FN27" s="4"/>
      <c r="FO27" s="5"/>
      <c r="FP27" s="4"/>
      <c r="FQ27" s="5"/>
      <c r="FR27" s="4"/>
      <c r="FS27" s="5"/>
      <c r="FT27" s="4"/>
      <c r="FU27" s="5"/>
      <c r="FV27" s="4"/>
      <c r="FW27" s="5"/>
      <c r="FX27" s="4"/>
      <c r="FY27" s="5"/>
      <c r="FZ27" s="4"/>
      <c r="GA27" s="5"/>
      <c r="GB27" s="4"/>
      <c r="GC27" s="5"/>
      <c r="GD27" s="4"/>
      <c r="GE27" s="5"/>
      <c r="GF27" s="4"/>
      <c r="GG27" s="5"/>
      <c r="GH27" s="4"/>
      <c r="GI27" s="5"/>
      <c r="GJ27" s="4"/>
      <c r="GK27" s="5"/>
      <c r="GL27" s="4"/>
      <c r="GM27" s="5"/>
      <c r="GN27" s="4"/>
      <c r="GO27" s="5"/>
      <c r="GP27" s="4"/>
      <c r="GQ27" s="5"/>
      <c r="GR27" s="4"/>
      <c r="GS27" s="5"/>
      <c r="GT27" s="4"/>
      <c r="GU27" s="5"/>
      <c r="GV27" s="4"/>
      <c r="GW27" s="5"/>
      <c r="GX27" s="4"/>
      <c r="GY27" s="5"/>
      <c r="GZ27" s="4"/>
      <c r="HA27" s="5"/>
      <c r="HB27" s="4"/>
      <c r="HC27" s="5"/>
      <c r="HD27" s="4"/>
      <c r="HE27" s="5"/>
      <c r="HF27" s="4"/>
      <c r="HG27" s="5"/>
      <c r="HH27" s="4"/>
      <c r="HI27" s="5"/>
      <c r="HJ27" s="4"/>
      <c r="HK27" s="5"/>
      <c r="HL27" s="4"/>
      <c r="HM27" s="5"/>
      <c r="HN27" s="4"/>
      <c r="HO27" s="5"/>
      <c r="HP27" s="4"/>
      <c r="HQ27" s="5"/>
      <c r="HR27" s="4"/>
      <c r="HS27" s="5"/>
    </row>
    <row r="28" spans="2:587" x14ac:dyDescent="0.2">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c r="HC28" s="6"/>
      <c r="HD28" s="6"/>
      <c r="HE28" s="6"/>
      <c r="HF28" s="6"/>
      <c r="HG28" s="6"/>
      <c r="HH28" s="6"/>
      <c r="HI28" s="6"/>
      <c r="HJ28" s="6"/>
      <c r="HK28" s="6"/>
    </row>
    <row r="29" spans="2:587" x14ac:dyDescent="0.2">
      <c r="D29" s="7"/>
      <c r="E29" s="7"/>
      <c r="F29" s="7"/>
      <c r="G29" s="7"/>
      <c r="H29" s="7"/>
      <c r="I29" s="7"/>
      <c r="J29" s="7"/>
      <c r="K29" s="7"/>
      <c r="L29" s="7"/>
      <c r="M29" s="7"/>
      <c r="N29" s="7"/>
      <c r="O29" s="7"/>
      <c r="P29" s="7"/>
      <c r="Q29" s="7"/>
      <c r="R29" s="7"/>
      <c r="S29" s="7"/>
      <c r="T29" s="7"/>
      <c r="V29" s="7"/>
      <c r="X29" s="7"/>
      <c r="Z29" s="7"/>
      <c r="AB29" s="7"/>
      <c r="AD29" s="7"/>
      <c r="AF29" s="7"/>
      <c r="AH29" s="7"/>
      <c r="AJ29" s="7"/>
      <c r="AL29" s="7"/>
      <c r="AN29" s="7"/>
      <c r="AP29" s="7"/>
      <c r="AR29" s="7"/>
      <c r="AT29" s="7"/>
      <c r="AV29" s="7"/>
      <c r="AX29" s="7"/>
      <c r="AZ29" s="7"/>
      <c r="BB29" s="7"/>
      <c r="BD29" s="7"/>
      <c r="BF29" s="7"/>
      <c r="BH29" s="7"/>
      <c r="BJ29" s="7"/>
      <c r="BN29" s="7"/>
      <c r="BP29" s="7"/>
      <c r="BT29" s="7"/>
      <c r="BV29" s="7"/>
      <c r="BZ29" s="7"/>
      <c r="CB29" s="7"/>
      <c r="CF29" s="7"/>
      <c r="CH29" s="7"/>
      <c r="CL29" s="7"/>
      <c r="CN29" s="7"/>
      <c r="CR29" s="7"/>
      <c r="CV29" s="7"/>
      <c r="CZ29" s="7"/>
      <c r="DD29" s="7"/>
      <c r="DH29" s="7"/>
      <c r="DR29" s="7"/>
      <c r="DV29" s="7"/>
      <c r="EF29" s="7"/>
      <c r="EJ29" s="7"/>
      <c r="ET29" s="7"/>
      <c r="EX29" s="7"/>
      <c r="FH29" s="7"/>
      <c r="FL29" s="7"/>
      <c r="FV29" s="7"/>
      <c r="FZ29" s="7"/>
      <c r="GJ29" s="7"/>
      <c r="GN29" s="7"/>
      <c r="GX29" s="7"/>
      <c r="HB29" s="7"/>
    </row>
    <row r="31" spans="2:587" x14ac:dyDescent="0.2">
      <c r="B31" t="s">
        <v>48</v>
      </c>
      <c r="D31" s="8"/>
      <c r="E31" s="8"/>
      <c r="F31" s="8"/>
      <c r="G31" s="9"/>
      <c r="H31" s="8"/>
      <c r="I31" s="9"/>
      <c r="J31" s="8"/>
      <c r="K31" s="9"/>
      <c r="L31" s="8"/>
      <c r="M31" s="9"/>
      <c r="N31" s="8"/>
      <c r="O31" s="9"/>
      <c r="P31" s="8"/>
      <c r="Q31" s="9"/>
      <c r="R31" s="8"/>
      <c r="S31" s="9"/>
      <c r="T31" s="8"/>
      <c r="U31" s="9"/>
      <c r="V31" s="8"/>
      <c r="W31" s="9"/>
      <c r="X31" s="8"/>
      <c r="Y31" s="9"/>
      <c r="Z31" s="8"/>
      <c r="AA31" s="9"/>
      <c r="AB31" s="8"/>
      <c r="AC31" s="9"/>
      <c r="AD31" s="8"/>
      <c r="AE31" s="9"/>
      <c r="AF31" s="8"/>
      <c r="AG31" s="9"/>
      <c r="AH31" s="8"/>
      <c r="AI31" s="9"/>
      <c r="AJ31" s="8"/>
      <c r="AK31" s="9"/>
      <c r="AL31" s="8"/>
      <c r="AM31" s="9"/>
      <c r="AN31" s="8"/>
      <c r="AO31" s="9"/>
      <c r="AP31" s="8"/>
      <c r="AQ31" s="9"/>
      <c r="AR31" s="8"/>
      <c r="AS31" s="9"/>
      <c r="AT31" s="8"/>
      <c r="AU31" s="9"/>
      <c r="AV31" s="8"/>
      <c r="AW31" s="9"/>
      <c r="AX31" s="8"/>
      <c r="AY31" s="9"/>
      <c r="AZ31" s="8"/>
      <c r="BA31" s="9"/>
      <c r="BB31" s="8"/>
      <c r="BC31" s="9"/>
      <c r="BD31" s="8"/>
      <c r="BE31" s="9"/>
      <c r="BF31" s="8"/>
      <c r="BG31" s="9"/>
      <c r="BH31" s="8"/>
      <c r="BI31" s="9"/>
      <c r="BJ31" s="8"/>
      <c r="BK31" s="9"/>
      <c r="BL31" s="8"/>
      <c r="BM31" s="9"/>
      <c r="BN31" s="8"/>
      <c r="BO31" s="9"/>
      <c r="BP31" s="8"/>
      <c r="BQ31" s="9"/>
      <c r="BR31" s="8"/>
      <c r="BS31" s="9"/>
      <c r="BT31" s="8"/>
      <c r="BU31" s="9"/>
      <c r="BV31" s="8"/>
      <c r="BW31" s="9"/>
      <c r="BX31" s="8"/>
      <c r="BY31" s="9"/>
      <c r="BZ31" s="8"/>
      <c r="CA31" s="9"/>
      <c r="CB31" s="8"/>
      <c r="CC31" s="9"/>
      <c r="CD31" s="8"/>
      <c r="CE31" s="9"/>
      <c r="CF31" s="8"/>
      <c r="CG31" s="9"/>
      <c r="CH31" s="8"/>
      <c r="CI31" s="9"/>
      <c r="CJ31" s="8"/>
      <c r="CK31" s="9"/>
      <c r="CL31" s="8"/>
      <c r="CM31" s="9"/>
      <c r="CN31" s="8"/>
      <c r="CO31" s="9"/>
      <c r="CP31" s="8"/>
      <c r="CQ31" s="9"/>
      <c r="CR31" s="8"/>
      <c r="CS31" s="9"/>
      <c r="CT31" s="8"/>
      <c r="CU31" s="9"/>
      <c r="CV31" s="8"/>
      <c r="CW31" s="9"/>
      <c r="CX31" s="8"/>
      <c r="CY31" s="9"/>
      <c r="CZ31" s="8"/>
      <c r="DA31" s="9"/>
      <c r="DB31" s="8"/>
      <c r="DC31" s="9"/>
      <c r="DD31" s="8"/>
      <c r="DE31" s="9"/>
      <c r="DF31" s="8"/>
      <c r="DG31" s="9"/>
      <c r="DH31" s="8"/>
      <c r="DI31" s="9"/>
      <c r="DJ31" s="8"/>
      <c r="DK31" s="9"/>
      <c r="DL31" s="8"/>
      <c r="DM31" s="9"/>
      <c r="DN31" s="8"/>
      <c r="DO31" s="9"/>
      <c r="DP31" s="8"/>
      <c r="DQ31" s="9"/>
      <c r="DR31" s="8"/>
      <c r="DS31" s="9"/>
      <c r="DT31" s="8"/>
      <c r="DU31" s="9"/>
      <c r="DV31" s="8"/>
      <c r="DW31" s="9"/>
      <c r="DX31" s="8"/>
      <c r="DY31" s="9"/>
      <c r="DZ31" s="8"/>
      <c r="EA31" s="9"/>
      <c r="EB31" s="8"/>
      <c r="EC31" s="9"/>
      <c r="ED31" s="8"/>
      <c r="EE31" s="9"/>
      <c r="EF31" s="8"/>
      <c r="EG31" s="9"/>
      <c r="EH31" s="8"/>
      <c r="EI31" s="9"/>
      <c r="EJ31" s="8"/>
      <c r="EK31" s="9"/>
      <c r="EL31" s="8"/>
      <c r="EM31" s="9"/>
      <c r="EN31" s="8"/>
      <c r="EO31" s="9"/>
      <c r="EP31" s="8"/>
      <c r="EQ31" s="9"/>
      <c r="ER31" s="8"/>
      <c r="ES31" s="9"/>
      <c r="ET31" s="8"/>
      <c r="EU31" s="9"/>
      <c r="EV31" s="8"/>
      <c r="EW31" s="9"/>
      <c r="EX31" s="8"/>
      <c r="EY31" s="9"/>
      <c r="EZ31" s="8"/>
      <c r="FA31" s="9"/>
      <c r="FB31" s="8"/>
      <c r="FC31" s="9"/>
      <c r="FD31" s="8"/>
      <c r="FE31" s="9"/>
      <c r="FF31" s="8"/>
      <c r="FG31" s="9"/>
      <c r="FH31" s="8"/>
      <c r="FI31" s="9"/>
      <c r="FJ31" s="8"/>
      <c r="FK31" s="9"/>
      <c r="FL31" s="8"/>
      <c r="FM31" s="9"/>
      <c r="FN31" s="8"/>
      <c r="FO31" s="9"/>
      <c r="FP31" s="8"/>
      <c r="FQ31" s="9"/>
      <c r="FR31" s="8"/>
      <c r="FS31" s="9"/>
      <c r="FT31" s="8"/>
      <c r="FU31" s="9"/>
      <c r="FV31" s="8"/>
      <c r="FW31" s="9"/>
      <c r="FX31" s="8"/>
      <c r="FY31" s="9"/>
      <c r="FZ31" s="8"/>
      <c r="GA31" s="9"/>
      <c r="GB31" s="8"/>
      <c r="GC31" s="9"/>
      <c r="GD31" s="8"/>
      <c r="GE31" s="9"/>
      <c r="GF31" s="8"/>
      <c r="GG31" s="9"/>
      <c r="GH31" s="8"/>
      <c r="GI31" s="9"/>
      <c r="GJ31" s="8"/>
      <c r="GK31" s="9"/>
      <c r="GL31" s="8"/>
      <c r="GM31" s="9"/>
      <c r="GN31" s="8"/>
      <c r="GO31" s="9"/>
      <c r="GP31" s="8"/>
      <c r="GQ31" s="9"/>
      <c r="GR31" s="8"/>
      <c r="GS31" s="9"/>
      <c r="GT31" s="8"/>
      <c r="GU31" s="9"/>
      <c r="GV31" s="8"/>
      <c r="GW31" s="9"/>
      <c r="GX31" s="8"/>
      <c r="GY31" s="9"/>
      <c r="GZ31" s="8"/>
      <c r="HA31" s="9"/>
      <c r="HB31" s="8"/>
      <c r="HC31" s="9"/>
      <c r="HD31" s="8"/>
      <c r="HE31" s="9"/>
      <c r="HF31" s="8"/>
      <c r="HG31" s="9"/>
      <c r="HH31" s="8"/>
      <c r="HI31" s="9"/>
      <c r="HJ31" s="8"/>
      <c r="HK31" s="9"/>
    </row>
    <row r="32" spans="2:587" x14ac:dyDescent="0.2">
      <c r="B32" t="s">
        <v>49</v>
      </c>
      <c r="C32" t="s">
        <v>4</v>
      </c>
      <c r="D32" t="s">
        <v>13</v>
      </c>
      <c r="E32" t="s">
        <v>50</v>
      </c>
      <c r="F32" t="s">
        <v>51</v>
      </c>
    </row>
    <row r="33" spans="1:8" x14ac:dyDescent="0.2">
      <c r="B33" t="s">
        <v>53</v>
      </c>
      <c r="C33" s="10">
        <v>0.45900000000000002</v>
      </c>
      <c r="D33" s="11">
        <v>46286</v>
      </c>
      <c r="E33" t="s">
        <v>54</v>
      </c>
      <c r="F33" t="s">
        <v>55</v>
      </c>
    </row>
    <row r="34" spans="1:8" x14ac:dyDescent="0.2">
      <c r="B34" t="s">
        <v>56</v>
      </c>
      <c r="C34" s="10">
        <v>1.2190000000000001</v>
      </c>
      <c r="D34" s="11">
        <v>46219</v>
      </c>
      <c r="E34" t="s">
        <v>54</v>
      </c>
      <c r="F34" t="s">
        <v>52</v>
      </c>
      <c r="H34" s="12"/>
    </row>
    <row r="38" spans="1:8" x14ac:dyDescent="0.2">
      <c r="A38" s="36" t="s">
        <v>63</v>
      </c>
      <c r="B38" s="36"/>
    </row>
    <row r="39" spans="1:8" x14ac:dyDescent="0.2">
      <c r="A39" s="35" t="s">
        <v>62</v>
      </c>
      <c r="B39" s="35"/>
    </row>
    <row r="40" spans="1:8" x14ac:dyDescent="0.2">
      <c r="A40" s="34" t="s">
        <v>61</v>
      </c>
      <c r="B40" s="34"/>
    </row>
    <row r="79" spans="2:5" x14ac:dyDescent="0.2">
      <c r="B79" t="s">
        <v>13</v>
      </c>
      <c r="C79" t="s">
        <v>14</v>
      </c>
      <c r="D79" t="s">
        <v>15</v>
      </c>
      <c r="E79" t="s">
        <v>16</v>
      </c>
    </row>
    <row r="80" spans="2:5" x14ac:dyDescent="0.2">
      <c r="B80" t="s">
        <v>17</v>
      </c>
      <c r="C80">
        <f>PL16</f>
        <v>1.0469999999999999</v>
      </c>
      <c r="D80">
        <f>PL24</f>
        <v>1.0649999999999999</v>
      </c>
      <c r="E80">
        <f>1</f>
        <v>1</v>
      </c>
    </row>
    <row r="81" spans="2:5" x14ac:dyDescent="0.2">
      <c r="B81" t="s">
        <v>18</v>
      </c>
      <c r="C81">
        <f>PN16</f>
        <v>1.0449999999999999</v>
      </c>
      <c r="D81">
        <f>PN24</f>
        <v>1.0389999999999999</v>
      </c>
      <c r="E81">
        <f>1</f>
        <v>1</v>
      </c>
    </row>
    <row r="82" spans="2:5" x14ac:dyDescent="0.2">
      <c r="B82" t="s">
        <v>19</v>
      </c>
      <c r="C82">
        <f>PP16</f>
        <v>1.1040000000000001</v>
      </c>
      <c r="D82">
        <f>PP24</f>
        <v>1.0680000000000001</v>
      </c>
      <c r="E82">
        <f>1</f>
        <v>1</v>
      </c>
    </row>
    <row r="83" spans="2:5" x14ac:dyDescent="0.2">
      <c r="B83" t="s">
        <v>20</v>
      </c>
      <c r="C83">
        <f>PR16</f>
        <v>1.038</v>
      </c>
      <c r="D83">
        <f>PR24</f>
        <v>1.018</v>
      </c>
      <c r="E83">
        <f>1</f>
        <v>1</v>
      </c>
    </row>
    <row r="84" spans="2:5" x14ac:dyDescent="0.2">
      <c r="B84" t="s">
        <v>21</v>
      </c>
      <c r="C84">
        <f>PT16</f>
        <v>0.96299999999999997</v>
      </c>
      <c r="D84">
        <f>PT24</f>
        <v>0.98299999999999998</v>
      </c>
      <c r="E84">
        <f>1</f>
        <v>1</v>
      </c>
    </row>
    <row r="85" spans="2:5" x14ac:dyDescent="0.2">
      <c r="B85" t="s">
        <v>22</v>
      </c>
      <c r="C85">
        <f>PV16</f>
        <v>1.0089999999999999</v>
      </c>
      <c r="D85">
        <f>PV24</f>
        <v>1.0189999999999999</v>
      </c>
      <c r="E85">
        <f>1</f>
        <v>1</v>
      </c>
    </row>
    <row r="86" spans="2:5" x14ac:dyDescent="0.2">
      <c r="B86" t="s">
        <v>23</v>
      </c>
      <c r="C86">
        <f>PX16</f>
        <v>0.96699999999999997</v>
      </c>
      <c r="D86">
        <f>PX24</f>
        <v>0.89300000000000002</v>
      </c>
      <c r="E86">
        <f>1</f>
        <v>1</v>
      </c>
    </row>
    <row r="87" spans="2:5" x14ac:dyDescent="0.2">
      <c r="B87" t="s">
        <v>24</v>
      </c>
      <c r="C87">
        <f>PZ16</f>
        <v>0.83699999999999997</v>
      </c>
      <c r="D87">
        <f>PZ24</f>
        <v>0.73799999999999999</v>
      </c>
      <c r="E87">
        <f>1</f>
        <v>1</v>
      </c>
    </row>
    <row r="88" spans="2:5" x14ac:dyDescent="0.2">
      <c r="B88" t="s">
        <v>25</v>
      </c>
      <c r="C88">
        <f>QB16</f>
        <v>0.71599999999999997</v>
      </c>
      <c r="D88">
        <f>QB24</f>
        <v>0.69099999999999995</v>
      </c>
      <c r="E88">
        <f>1</f>
        <v>1</v>
      </c>
    </row>
    <row r="89" spans="2:5" x14ac:dyDescent="0.2">
      <c r="B89" t="s">
        <v>26</v>
      </c>
      <c r="C89">
        <f>QD16</f>
        <v>0.88100000000000001</v>
      </c>
      <c r="D89">
        <f>QD24</f>
        <v>0.66800000000000004</v>
      </c>
      <c r="E89">
        <f>1</f>
        <v>1</v>
      </c>
    </row>
    <row r="90" spans="2:5" x14ac:dyDescent="0.2">
      <c r="B90" t="s">
        <v>27</v>
      </c>
      <c r="C90">
        <f>QF16</f>
        <v>0.51600000000000001</v>
      </c>
      <c r="D90">
        <f>QF24</f>
        <v>0.67400000000000004</v>
      </c>
      <c r="E90">
        <f>1</f>
        <v>1</v>
      </c>
    </row>
    <row r="91" spans="2:5" x14ac:dyDescent="0.2">
      <c r="B91" t="s">
        <v>28</v>
      </c>
      <c r="C91">
        <f>QH16</f>
        <v>0.79700000000000004</v>
      </c>
      <c r="D91">
        <f>QH24</f>
        <v>0.76100000000000001</v>
      </c>
      <c r="E91">
        <f>1</f>
        <v>1</v>
      </c>
    </row>
    <row r="92" spans="2:5" x14ac:dyDescent="0.2">
      <c r="B92" t="s">
        <v>29</v>
      </c>
      <c r="C92">
        <f>QJ16</f>
        <v>0.78200000000000003</v>
      </c>
      <c r="D92">
        <f>QJ24</f>
        <v>0.84299999999999997</v>
      </c>
      <c r="E92">
        <f>1</f>
        <v>1</v>
      </c>
    </row>
    <row r="93" spans="2:5" x14ac:dyDescent="0.2">
      <c r="B93" t="s">
        <v>30</v>
      </c>
      <c r="C93">
        <f>QL16</f>
        <v>0.73799999999999999</v>
      </c>
      <c r="D93">
        <f>QL24</f>
        <v>0.75700000000000001</v>
      </c>
      <c r="E93">
        <f>1</f>
        <v>1</v>
      </c>
    </row>
    <row r="94" spans="2:5" x14ac:dyDescent="0.2">
      <c r="B94" t="s">
        <v>31</v>
      </c>
      <c r="C94">
        <f>QN16</f>
        <v>0.79900000000000004</v>
      </c>
      <c r="D94">
        <f>QN24</f>
        <v>0.73399999999999999</v>
      </c>
      <c r="E94">
        <f>1</f>
        <v>1</v>
      </c>
    </row>
    <row r="95" spans="2:5" x14ac:dyDescent="0.2">
      <c r="B95" t="s">
        <v>32</v>
      </c>
      <c r="C95">
        <f>QP16</f>
        <v>0.61299999999999999</v>
      </c>
      <c r="D95">
        <f>QP24</f>
        <v>0.57399999999999995</v>
      </c>
      <c r="E95">
        <f>1</f>
        <v>1</v>
      </c>
    </row>
    <row r="96" spans="2:5" x14ac:dyDescent="0.2">
      <c r="B96" t="s">
        <v>33</v>
      </c>
      <c r="C96">
        <f>QR16</f>
        <v>0.51500000000000001</v>
      </c>
      <c r="D96">
        <f>QR24</f>
        <v>0.51400000000000001</v>
      </c>
      <c r="E96">
        <f>1</f>
        <v>1</v>
      </c>
    </row>
    <row r="97" spans="2:5" x14ac:dyDescent="0.2">
      <c r="B97" t="s">
        <v>34</v>
      </c>
      <c r="C97">
        <f>QT16</f>
        <v>0.61699999999999999</v>
      </c>
      <c r="D97">
        <f>QT24</f>
        <v>0.65100000000000002</v>
      </c>
      <c r="E97">
        <f>1</f>
        <v>1</v>
      </c>
    </row>
    <row r="98" spans="2:5" x14ac:dyDescent="0.2">
      <c r="B98" t="s">
        <v>35</v>
      </c>
      <c r="C98">
        <f>QV16</f>
        <v>0.63</v>
      </c>
      <c r="D98">
        <f>QV24</f>
        <v>0.60899999999999999</v>
      </c>
      <c r="E98">
        <f>1</f>
        <v>1</v>
      </c>
    </row>
    <row r="99" spans="2:5" x14ac:dyDescent="0.2">
      <c r="B99" t="s">
        <v>36</v>
      </c>
      <c r="C99">
        <f>QX16</f>
        <v>0.58699999999999997</v>
      </c>
      <c r="D99">
        <f>QX24</f>
        <v>0.58199999999999996</v>
      </c>
      <c r="E99">
        <f>1</f>
        <v>1</v>
      </c>
    </row>
    <row r="100" spans="2:5" x14ac:dyDescent="0.2">
      <c r="B100" t="s">
        <v>37</v>
      </c>
      <c r="C100">
        <f>QZ16</f>
        <v>0.45900000000000002</v>
      </c>
      <c r="D100">
        <f>QZ24</f>
        <v>0.52</v>
      </c>
      <c r="E100">
        <f>1</f>
        <v>1</v>
      </c>
    </row>
    <row r="101" spans="2:5" x14ac:dyDescent="0.2">
      <c r="B101" t="s">
        <v>38</v>
      </c>
      <c r="C101">
        <f>RB16</f>
        <v>0.51200000000000001</v>
      </c>
      <c r="D101">
        <f>RB24</f>
        <v>0.60599999999999998</v>
      </c>
      <c r="E101">
        <f>1</f>
        <v>1</v>
      </c>
    </row>
    <row r="102" spans="2:5" x14ac:dyDescent="0.2">
      <c r="B102" t="s">
        <v>39</v>
      </c>
      <c r="C102">
        <f>RD16</f>
        <v>0.52100000000000002</v>
      </c>
      <c r="D102">
        <f>RD24</f>
        <v>0.51</v>
      </c>
      <c r="E102">
        <f>1</f>
        <v>1</v>
      </c>
    </row>
    <row r="103" spans="2:5" x14ac:dyDescent="0.2">
      <c r="B103" t="s">
        <v>40</v>
      </c>
      <c r="C103">
        <f>RF16</f>
        <v>0.501</v>
      </c>
      <c r="D103">
        <f>RF24</f>
        <v>0.51300000000000001</v>
      </c>
      <c r="E103">
        <f>1</f>
        <v>1</v>
      </c>
    </row>
    <row r="104" spans="2:5" x14ac:dyDescent="0.2">
      <c r="B104" t="s">
        <v>41</v>
      </c>
      <c r="C104">
        <f>RH16</f>
        <v>0.624</v>
      </c>
      <c r="D104">
        <f>RH24</f>
        <v>0.64</v>
      </c>
      <c r="E104">
        <f>1</f>
        <v>1</v>
      </c>
    </row>
    <row r="105" spans="2:5" x14ac:dyDescent="0.2">
      <c r="B105" t="s">
        <v>42</v>
      </c>
      <c r="C105">
        <f>RJ16</f>
        <v>0.68799999999999994</v>
      </c>
      <c r="D105">
        <f>RJ24</f>
        <v>0.67100000000000004</v>
      </c>
      <c r="E105">
        <f>1</f>
        <v>1</v>
      </c>
    </row>
    <row r="106" spans="2:5" x14ac:dyDescent="0.2">
      <c r="B106" t="s">
        <v>43</v>
      </c>
      <c r="C106">
        <f>RL16</f>
        <v>0.67700000000000005</v>
      </c>
      <c r="D106">
        <f>RL24</f>
        <v>0.61399999999999999</v>
      </c>
      <c r="E106">
        <f>1</f>
        <v>1</v>
      </c>
    </row>
    <row r="107" spans="2:5" x14ac:dyDescent="0.2">
      <c r="B107" t="s">
        <v>44</v>
      </c>
      <c r="C107">
        <f>RN16</f>
        <v>0.61499999999999999</v>
      </c>
      <c r="D107">
        <f>RN24</f>
        <v>0.65</v>
      </c>
      <c r="E107">
        <f>1</f>
        <v>1</v>
      </c>
    </row>
    <row r="108" spans="2:5" x14ac:dyDescent="0.2">
      <c r="B108" t="s">
        <v>45</v>
      </c>
      <c r="C108">
        <f>RP16</f>
        <v>0.59199999999999997</v>
      </c>
      <c r="D108">
        <f>RP24</f>
        <v>0.61899999999999999</v>
      </c>
      <c r="E108">
        <f>1</f>
        <v>1</v>
      </c>
    </row>
    <row r="109" spans="2:5" x14ac:dyDescent="0.2">
      <c r="B109" t="s">
        <v>46</v>
      </c>
      <c r="C109">
        <f>RR16</f>
        <v>0.60399999999999998</v>
      </c>
      <c r="D109">
        <f>RR24</f>
        <v>0.55600000000000005</v>
      </c>
      <c r="E109">
        <f>1</f>
        <v>1</v>
      </c>
    </row>
  </sheetData>
  <mergeCells count="606">
    <mergeCell ref="UT10:UU10"/>
    <mergeCell ref="UV10:UW10"/>
    <mergeCell ref="UX10:UY10"/>
    <mergeCell ref="UH11:UI11"/>
    <mergeCell ref="UJ11:UK11"/>
    <mergeCell ref="UL11:UM11"/>
    <mergeCell ref="UN11:UO11"/>
    <mergeCell ref="UP11:UQ11"/>
    <mergeCell ref="UR11:US11"/>
    <mergeCell ref="UT11:UU11"/>
    <mergeCell ref="UV11:UW11"/>
    <mergeCell ref="UX11:UY11"/>
    <mergeCell ref="TH9:UA9"/>
    <mergeCell ref="UB9:UU9"/>
    <mergeCell ref="UV9:VO9"/>
    <mergeCell ref="TH20:UA20"/>
    <mergeCell ref="UB20:UU20"/>
    <mergeCell ref="UV20:VO20"/>
    <mergeCell ref="TV10:TW10"/>
    <mergeCell ref="TX10:TY10"/>
    <mergeCell ref="TZ10:UA10"/>
    <mergeCell ref="UB10:UC10"/>
    <mergeCell ref="UD10:UE10"/>
    <mergeCell ref="UF10:UG10"/>
    <mergeCell ref="TV11:TW11"/>
    <mergeCell ref="TX11:TY11"/>
    <mergeCell ref="TZ11:UA11"/>
    <mergeCell ref="UB11:UC11"/>
    <mergeCell ref="UD11:UE11"/>
    <mergeCell ref="UF11:UG11"/>
    <mergeCell ref="UH10:UI10"/>
    <mergeCell ref="UJ10:UK10"/>
    <mergeCell ref="UL10:UM10"/>
    <mergeCell ref="UN10:UO10"/>
    <mergeCell ref="UP10:UQ10"/>
    <mergeCell ref="UR10:US10"/>
    <mergeCell ref="QF9:QY9"/>
    <mergeCell ref="QF20:QY20"/>
    <mergeCell ref="QZ9:RS9"/>
    <mergeCell ref="QZ20:RS20"/>
    <mergeCell ref="RT9:SM9"/>
    <mergeCell ref="RT20:SM20"/>
    <mergeCell ref="SN9:TG9"/>
    <mergeCell ref="SN20:TG20"/>
    <mergeCell ref="ND9:NW9"/>
    <mergeCell ref="ND20:NW20"/>
    <mergeCell ref="NX9:OQ9"/>
    <mergeCell ref="NX20:OQ20"/>
    <mergeCell ref="OR9:PK9"/>
    <mergeCell ref="OR20:PK20"/>
    <mergeCell ref="SR11:SS11"/>
    <mergeCell ref="RZ11:SA11"/>
    <mergeCell ref="SB11:SC11"/>
    <mergeCell ref="SD11:SE11"/>
    <mergeCell ref="SF11:SG11"/>
    <mergeCell ref="RJ11:RK11"/>
    <mergeCell ref="RL11:RM11"/>
    <mergeCell ref="RN11:RO11"/>
    <mergeCell ref="RP11:RQ11"/>
    <mergeCell ref="RR11:RS11"/>
    <mergeCell ref="PL9:QE9"/>
    <mergeCell ref="PL20:QE20"/>
    <mergeCell ref="KV20:LO20"/>
    <mergeCell ref="LP20:MI20"/>
    <mergeCell ref="MJ9:NC9"/>
    <mergeCell ref="LP9:MI9"/>
    <mergeCell ref="KV9:LO9"/>
    <mergeCell ref="MJ20:NC20"/>
    <mergeCell ref="B18:C18"/>
    <mergeCell ref="PB11:PC11"/>
    <mergeCell ref="PD11:PE11"/>
    <mergeCell ref="PF11:PG11"/>
    <mergeCell ref="PH11:PI11"/>
    <mergeCell ref="PJ11:PK11"/>
    <mergeCell ref="PL11:PM11"/>
    <mergeCell ref="OP11:OQ11"/>
    <mergeCell ref="OR11:OS11"/>
    <mergeCell ref="OT11:OU11"/>
    <mergeCell ref="OV11:OW11"/>
    <mergeCell ref="OX11:OY11"/>
    <mergeCell ref="OZ11:PA11"/>
    <mergeCell ref="OD11:OE11"/>
    <mergeCell ref="OF11:OG11"/>
    <mergeCell ref="OH11:OI11"/>
    <mergeCell ref="B26:C26"/>
    <mergeCell ref="SH11:SI11"/>
    <mergeCell ref="SJ11:SK11"/>
    <mergeCell ref="SL11:SM11"/>
    <mergeCell ref="SN11:SO11"/>
    <mergeCell ref="SP11:SQ11"/>
    <mergeCell ref="QX11:QY11"/>
    <mergeCell ref="QZ11:RA11"/>
    <mergeCell ref="RB11:RC11"/>
    <mergeCell ref="RD11:RE11"/>
    <mergeCell ref="RF11:RG11"/>
    <mergeCell ref="RH11:RI11"/>
    <mergeCell ref="QL11:QM11"/>
    <mergeCell ref="QN11:QO11"/>
    <mergeCell ref="QP11:QQ11"/>
    <mergeCell ref="QR11:QS11"/>
    <mergeCell ref="QT11:QU11"/>
    <mergeCell ref="QV11:QW11"/>
    <mergeCell ref="PZ11:QA11"/>
    <mergeCell ref="QB11:QC11"/>
    <mergeCell ref="QD11:QE11"/>
    <mergeCell ref="RV11:RW11"/>
    <mergeCell ref="RX11:RY11"/>
    <mergeCell ref="B13:B17"/>
    <mergeCell ref="RT11:RU11"/>
    <mergeCell ref="QF11:QG11"/>
    <mergeCell ref="QH11:QI11"/>
    <mergeCell ref="QJ11:QK11"/>
    <mergeCell ref="PN11:PO11"/>
    <mergeCell ref="PP11:PQ11"/>
    <mergeCell ref="PR11:PS11"/>
    <mergeCell ref="PT11:PU11"/>
    <mergeCell ref="PV11:PW11"/>
    <mergeCell ref="PX11:PY11"/>
    <mergeCell ref="OJ11:OK11"/>
    <mergeCell ref="OL11:OM11"/>
    <mergeCell ref="ON11:OO11"/>
    <mergeCell ref="NR11:NS11"/>
    <mergeCell ref="NT11:NU11"/>
    <mergeCell ref="NV11:NW11"/>
    <mergeCell ref="NX11:NY11"/>
    <mergeCell ref="NZ11:OA11"/>
    <mergeCell ref="OB11:OC11"/>
    <mergeCell ref="NF11:NG11"/>
    <mergeCell ref="NH11:NI11"/>
    <mergeCell ref="NJ11:NK11"/>
    <mergeCell ref="NL11:NM11"/>
    <mergeCell ref="NN11:NO11"/>
    <mergeCell ref="NP11:NQ11"/>
    <mergeCell ref="MT11:MU11"/>
    <mergeCell ref="MV11:MW11"/>
    <mergeCell ref="MX11:MY11"/>
    <mergeCell ref="MZ11:NA11"/>
    <mergeCell ref="NB11:NC11"/>
    <mergeCell ref="ND11:NE11"/>
    <mergeCell ref="MH11:MI11"/>
    <mergeCell ref="MJ11:MK11"/>
    <mergeCell ref="ML11:MM11"/>
    <mergeCell ref="MN11:MO11"/>
    <mergeCell ref="MP11:MQ11"/>
    <mergeCell ref="MR11:MS11"/>
    <mergeCell ref="LV11:LW11"/>
    <mergeCell ref="LX11:LY11"/>
    <mergeCell ref="LZ11:MA11"/>
    <mergeCell ref="MB11:MC11"/>
    <mergeCell ref="MD11:ME11"/>
    <mergeCell ref="MF11:MG11"/>
    <mergeCell ref="LJ11:LK11"/>
    <mergeCell ref="LL11:LM11"/>
    <mergeCell ref="LN11:LO11"/>
    <mergeCell ref="LP11:LQ11"/>
    <mergeCell ref="LR11:LS11"/>
    <mergeCell ref="LT11:LU11"/>
    <mergeCell ref="KX11:KY11"/>
    <mergeCell ref="KZ11:LA11"/>
    <mergeCell ref="LB11:LC11"/>
    <mergeCell ref="LD11:LE11"/>
    <mergeCell ref="LF11:LG11"/>
    <mergeCell ref="LH11:LI11"/>
    <mergeCell ref="KL11:KM11"/>
    <mergeCell ref="KN11:KO11"/>
    <mergeCell ref="KP11:KQ11"/>
    <mergeCell ref="KR11:KS11"/>
    <mergeCell ref="KT11:KU11"/>
    <mergeCell ref="KV11:KW11"/>
    <mergeCell ref="JZ11:KA11"/>
    <mergeCell ref="KB11:KC11"/>
    <mergeCell ref="KD11:KE11"/>
    <mergeCell ref="KF11:KG11"/>
    <mergeCell ref="KH11:KI11"/>
    <mergeCell ref="KJ11:KK11"/>
    <mergeCell ref="JN11:JO11"/>
    <mergeCell ref="JP11:JQ11"/>
    <mergeCell ref="JR11:JS11"/>
    <mergeCell ref="JT11:JU11"/>
    <mergeCell ref="JV11:JW11"/>
    <mergeCell ref="JX11:JY11"/>
    <mergeCell ref="JB11:JC11"/>
    <mergeCell ref="JD11:JE11"/>
    <mergeCell ref="JF11:JG11"/>
    <mergeCell ref="JH11:JI11"/>
    <mergeCell ref="JJ11:JK11"/>
    <mergeCell ref="JL11:JM11"/>
    <mergeCell ref="IP11:IQ11"/>
    <mergeCell ref="IR11:IS11"/>
    <mergeCell ref="IT11:IU11"/>
    <mergeCell ref="IV11:IW11"/>
    <mergeCell ref="IX11:IY11"/>
    <mergeCell ref="IZ11:JA11"/>
    <mergeCell ref="ID11:IE11"/>
    <mergeCell ref="IF11:IG11"/>
    <mergeCell ref="IH11:II11"/>
    <mergeCell ref="IJ11:IK11"/>
    <mergeCell ref="IL11:IM11"/>
    <mergeCell ref="IN11:IO11"/>
    <mergeCell ref="HR11:HS11"/>
    <mergeCell ref="HT11:HU11"/>
    <mergeCell ref="HV11:HW11"/>
    <mergeCell ref="HX11:HY11"/>
    <mergeCell ref="HZ11:IA11"/>
    <mergeCell ref="IB11:IC11"/>
    <mergeCell ref="HF11:HG11"/>
    <mergeCell ref="HH11:HI11"/>
    <mergeCell ref="HJ11:HK11"/>
    <mergeCell ref="HL11:HM11"/>
    <mergeCell ref="HN11:HO11"/>
    <mergeCell ref="HP11:HQ11"/>
    <mergeCell ref="GT11:GU11"/>
    <mergeCell ref="GV11:GW11"/>
    <mergeCell ref="GX11:GY11"/>
    <mergeCell ref="GZ11:HA11"/>
    <mergeCell ref="HB11:HC11"/>
    <mergeCell ref="HD11:HE11"/>
    <mergeCell ref="GH11:GI11"/>
    <mergeCell ref="GJ11:GK11"/>
    <mergeCell ref="GL11:GM11"/>
    <mergeCell ref="GN11:GO11"/>
    <mergeCell ref="GP11:GQ11"/>
    <mergeCell ref="GR11:GS11"/>
    <mergeCell ref="FV11:FW11"/>
    <mergeCell ref="FX11:FY11"/>
    <mergeCell ref="FZ11:GA11"/>
    <mergeCell ref="GB11:GC11"/>
    <mergeCell ref="GD11:GE11"/>
    <mergeCell ref="GF11:GG11"/>
    <mergeCell ref="FJ11:FK11"/>
    <mergeCell ref="FL11:FM11"/>
    <mergeCell ref="FN11:FO11"/>
    <mergeCell ref="FP11:FQ11"/>
    <mergeCell ref="FR11:FS11"/>
    <mergeCell ref="FT11:FU11"/>
    <mergeCell ref="EX11:EY11"/>
    <mergeCell ref="EZ11:FA11"/>
    <mergeCell ref="FB11:FC11"/>
    <mergeCell ref="FD11:FE11"/>
    <mergeCell ref="FF11:FG11"/>
    <mergeCell ref="FH11:FI11"/>
    <mergeCell ref="EL11:EM11"/>
    <mergeCell ref="EN11:EO11"/>
    <mergeCell ref="EP11:EQ11"/>
    <mergeCell ref="ER11:ES11"/>
    <mergeCell ref="ET11:EU11"/>
    <mergeCell ref="EV11:EW11"/>
    <mergeCell ref="DZ11:EA11"/>
    <mergeCell ref="EB11:EC11"/>
    <mergeCell ref="ED11:EE11"/>
    <mergeCell ref="EF11:EG11"/>
    <mergeCell ref="EH11:EI11"/>
    <mergeCell ref="EJ11:EK11"/>
    <mergeCell ref="DN11:DO11"/>
    <mergeCell ref="DP11:DQ11"/>
    <mergeCell ref="DR11:DS11"/>
    <mergeCell ref="DT11:DU11"/>
    <mergeCell ref="DV11:DW11"/>
    <mergeCell ref="DX11:DY11"/>
    <mergeCell ref="DB11:DC11"/>
    <mergeCell ref="DD11:DE11"/>
    <mergeCell ref="DF11:DG11"/>
    <mergeCell ref="DH11:DI11"/>
    <mergeCell ref="DJ11:DK11"/>
    <mergeCell ref="DL11:DM11"/>
    <mergeCell ref="CP11:CQ11"/>
    <mergeCell ref="CR11:CS11"/>
    <mergeCell ref="CT11:CU11"/>
    <mergeCell ref="CV11:CW11"/>
    <mergeCell ref="CX11:CY11"/>
    <mergeCell ref="CZ11:DA11"/>
    <mergeCell ref="CD11:CE11"/>
    <mergeCell ref="CF11:CG11"/>
    <mergeCell ref="CH11:CI11"/>
    <mergeCell ref="CJ11:CK11"/>
    <mergeCell ref="CL11:CM11"/>
    <mergeCell ref="CN11:CO11"/>
    <mergeCell ref="BR11:BS11"/>
    <mergeCell ref="BT11:BU11"/>
    <mergeCell ref="BV11:BW11"/>
    <mergeCell ref="BX11:BY11"/>
    <mergeCell ref="BZ11:CA11"/>
    <mergeCell ref="CB11:CC11"/>
    <mergeCell ref="BF11:BG11"/>
    <mergeCell ref="BH11:BI11"/>
    <mergeCell ref="BJ11:BK11"/>
    <mergeCell ref="BL11:BM11"/>
    <mergeCell ref="BN11:BO11"/>
    <mergeCell ref="BP11:BQ11"/>
    <mergeCell ref="AT11:AU11"/>
    <mergeCell ref="AV11:AW11"/>
    <mergeCell ref="AX11:AY11"/>
    <mergeCell ref="AZ11:BA11"/>
    <mergeCell ref="BB11:BC11"/>
    <mergeCell ref="BD11:BE11"/>
    <mergeCell ref="AH11:AI11"/>
    <mergeCell ref="AJ11:AK11"/>
    <mergeCell ref="AL11:AM11"/>
    <mergeCell ref="AN11:AO11"/>
    <mergeCell ref="AP11:AQ11"/>
    <mergeCell ref="AR11:AS11"/>
    <mergeCell ref="V11:W11"/>
    <mergeCell ref="X11:Y11"/>
    <mergeCell ref="Z11:AA11"/>
    <mergeCell ref="AB11:AC11"/>
    <mergeCell ref="AD11:AE11"/>
    <mergeCell ref="AF11:AG11"/>
    <mergeCell ref="J11:K11"/>
    <mergeCell ref="L11:M11"/>
    <mergeCell ref="N11:O11"/>
    <mergeCell ref="P11:Q11"/>
    <mergeCell ref="R11:S11"/>
    <mergeCell ref="T11:U11"/>
    <mergeCell ref="SJ10:SK10"/>
    <mergeCell ref="SL10:SM10"/>
    <mergeCell ref="SN10:SO10"/>
    <mergeCell ref="RJ10:RK10"/>
    <mergeCell ref="QN10:QO10"/>
    <mergeCell ref="QP10:QQ10"/>
    <mergeCell ref="QR10:QS10"/>
    <mergeCell ref="QT10:QU10"/>
    <mergeCell ref="QV10:QW10"/>
    <mergeCell ref="QX10:QY10"/>
    <mergeCell ref="QB10:QC10"/>
    <mergeCell ref="QD10:QE10"/>
    <mergeCell ref="QF10:QG10"/>
    <mergeCell ref="QH10:QI10"/>
    <mergeCell ref="QJ10:QK10"/>
    <mergeCell ref="QL10:QM10"/>
    <mergeCell ref="PP10:PQ10"/>
    <mergeCell ref="PR10:PS10"/>
    <mergeCell ref="SP10:SQ10"/>
    <mergeCell ref="SR10:SS10"/>
    <mergeCell ref="B11:B12"/>
    <mergeCell ref="C11:C12"/>
    <mergeCell ref="D11:E11"/>
    <mergeCell ref="F11:G11"/>
    <mergeCell ref="H11:I11"/>
    <mergeCell ref="RX10:RY10"/>
    <mergeCell ref="RZ10:SA10"/>
    <mergeCell ref="SB10:SC10"/>
    <mergeCell ref="SD10:SE10"/>
    <mergeCell ref="SF10:SG10"/>
    <mergeCell ref="SH10:SI10"/>
    <mergeCell ref="RL10:RM10"/>
    <mergeCell ref="RN10:RO10"/>
    <mergeCell ref="RP10:RQ10"/>
    <mergeCell ref="RR10:RS10"/>
    <mergeCell ref="RT10:RU10"/>
    <mergeCell ref="RV10:RW10"/>
    <mergeCell ref="QZ10:RA10"/>
    <mergeCell ref="RB10:RC10"/>
    <mergeCell ref="RD10:RE10"/>
    <mergeCell ref="RF10:RG10"/>
    <mergeCell ref="RH10:RI10"/>
    <mergeCell ref="PT10:PU10"/>
    <mergeCell ref="PV10:PW10"/>
    <mergeCell ref="PX10:PY10"/>
    <mergeCell ref="PZ10:QA10"/>
    <mergeCell ref="PD10:PE10"/>
    <mergeCell ref="PF10:PG10"/>
    <mergeCell ref="PH10:PI10"/>
    <mergeCell ref="PJ10:PK10"/>
    <mergeCell ref="PL10:PM10"/>
    <mergeCell ref="PN10:PO10"/>
    <mergeCell ref="OR10:OS10"/>
    <mergeCell ref="OT10:OU10"/>
    <mergeCell ref="OV10:OW10"/>
    <mergeCell ref="OX10:OY10"/>
    <mergeCell ref="OZ10:PA10"/>
    <mergeCell ref="PB10:PC10"/>
    <mergeCell ref="OF10:OG10"/>
    <mergeCell ref="OH10:OI10"/>
    <mergeCell ref="OJ10:OK10"/>
    <mergeCell ref="OL10:OM10"/>
    <mergeCell ref="ON10:OO10"/>
    <mergeCell ref="OP10:OQ10"/>
    <mergeCell ref="NT10:NU10"/>
    <mergeCell ref="NV10:NW10"/>
    <mergeCell ref="NX10:NY10"/>
    <mergeCell ref="NZ10:OA10"/>
    <mergeCell ref="OB10:OC10"/>
    <mergeCell ref="OD10:OE10"/>
    <mergeCell ref="NH10:NI10"/>
    <mergeCell ref="NJ10:NK10"/>
    <mergeCell ref="NL10:NM10"/>
    <mergeCell ref="NN10:NO10"/>
    <mergeCell ref="NP10:NQ10"/>
    <mergeCell ref="NR10:NS10"/>
    <mergeCell ref="MV10:MW10"/>
    <mergeCell ref="MX10:MY10"/>
    <mergeCell ref="MZ10:NA10"/>
    <mergeCell ref="NB10:NC10"/>
    <mergeCell ref="ND10:NE10"/>
    <mergeCell ref="NF10:NG10"/>
    <mergeCell ref="MJ10:MK10"/>
    <mergeCell ref="ML10:MM10"/>
    <mergeCell ref="MN10:MO10"/>
    <mergeCell ref="MP10:MQ10"/>
    <mergeCell ref="MR10:MS10"/>
    <mergeCell ref="MT10:MU10"/>
    <mergeCell ref="LX10:LY10"/>
    <mergeCell ref="LZ10:MA10"/>
    <mergeCell ref="MB10:MC10"/>
    <mergeCell ref="MD10:ME10"/>
    <mergeCell ref="MF10:MG10"/>
    <mergeCell ref="MH10:MI10"/>
    <mergeCell ref="LL10:LM10"/>
    <mergeCell ref="LN10:LO10"/>
    <mergeCell ref="LP10:LQ10"/>
    <mergeCell ref="LR10:LS10"/>
    <mergeCell ref="LT10:LU10"/>
    <mergeCell ref="LV10:LW10"/>
    <mergeCell ref="KZ10:LA10"/>
    <mergeCell ref="LB10:LC10"/>
    <mergeCell ref="LD10:LE10"/>
    <mergeCell ref="LF10:LG10"/>
    <mergeCell ref="LH10:LI10"/>
    <mergeCell ref="LJ10:LK10"/>
    <mergeCell ref="KN10:KO10"/>
    <mergeCell ref="KP10:KQ10"/>
    <mergeCell ref="KR10:KS10"/>
    <mergeCell ref="KT10:KU10"/>
    <mergeCell ref="KV10:KW10"/>
    <mergeCell ref="KX10:KY10"/>
    <mergeCell ref="KB10:KC10"/>
    <mergeCell ref="KD10:KE10"/>
    <mergeCell ref="KF10:KG10"/>
    <mergeCell ref="KH10:KI10"/>
    <mergeCell ref="KJ10:KK10"/>
    <mergeCell ref="KL10:KM10"/>
    <mergeCell ref="JP10:JQ10"/>
    <mergeCell ref="JR10:JS10"/>
    <mergeCell ref="JT10:JU10"/>
    <mergeCell ref="JV10:JW10"/>
    <mergeCell ref="JX10:JY10"/>
    <mergeCell ref="JZ10:KA10"/>
    <mergeCell ref="JD10:JE10"/>
    <mergeCell ref="JF10:JG10"/>
    <mergeCell ref="JH10:JI10"/>
    <mergeCell ref="JJ10:JK10"/>
    <mergeCell ref="JL10:JM10"/>
    <mergeCell ref="JN10:JO10"/>
    <mergeCell ref="IR10:IS10"/>
    <mergeCell ref="IT10:IU10"/>
    <mergeCell ref="IV10:IW10"/>
    <mergeCell ref="IX10:IY10"/>
    <mergeCell ref="IZ10:JA10"/>
    <mergeCell ref="JB10:JC10"/>
    <mergeCell ref="IF10:IG10"/>
    <mergeCell ref="IH10:II10"/>
    <mergeCell ref="IJ10:IK10"/>
    <mergeCell ref="IL10:IM10"/>
    <mergeCell ref="IN10:IO10"/>
    <mergeCell ref="IP10:IQ10"/>
    <mergeCell ref="HT10:HU10"/>
    <mergeCell ref="HV10:HW10"/>
    <mergeCell ref="HX10:HY10"/>
    <mergeCell ref="HZ10:IA10"/>
    <mergeCell ref="IB10:IC10"/>
    <mergeCell ref="ID10:IE10"/>
    <mergeCell ref="HH10:HI10"/>
    <mergeCell ref="HJ10:HK10"/>
    <mergeCell ref="HL10:HM10"/>
    <mergeCell ref="HN10:HO10"/>
    <mergeCell ref="HP10:HQ10"/>
    <mergeCell ref="HR10:HS10"/>
    <mergeCell ref="GV10:GW10"/>
    <mergeCell ref="GX10:GY10"/>
    <mergeCell ref="GZ10:HA10"/>
    <mergeCell ref="HB10:HC10"/>
    <mergeCell ref="HD10:HE10"/>
    <mergeCell ref="HF10:HG10"/>
    <mergeCell ref="GJ10:GK10"/>
    <mergeCell ref="GL10:GM10"/>
    <mergeCell ref="GN10:GO10"/>
    <mergeCell ref="GP10:GQ10"/>
    <mergeCell ref="GR10:GS10"/>
    <mergeCell ref="GT10:GU10"/>
    <mergeCell ref="FX10:FY10"/>
    <mergeCell ref="FZ10:GA10"/>
    <mergeCell ref="GB10:GC10"/>
    <mergeCell ref="GD10:GE10"/>
    <mergeCell ref="GF10:GG10"/>
    <mergeCell ref="GH10:GI10"/>
    <mergeCell ref="FL10:FM10"/>
    <mergeCell ref="FN10:FO10"/>
    <mergeCell ref="FP10:FQ10"/>
    <mergeCell ref="FR10:FS10"/>
    <mergeCell ref="FT10:FU10"/>
    <mergeCell ref="FV10:FW10"/>
    <mergeCell ref="EZ10:FA10"/>
    <mergeCell ref="FB10:FC10"/>
    <mergeCell ref="FD10:FE10"/>
    <mergeCell ref="FF10:FG10"/>
    <mergeCell ref="FH10:FI10"/>
    <mergeCell ref="FJ10:FK10"/>
    <mergeCell ref="EN10:EO10"/>
    <mergeCell ref="EP10:EQ10"/>
    <mergeCell ref="ER10:ES10"/>
    <mergeCell ref="ET10:EU10"/>
    <mergeCell ref="EV10:EW10"/>
    <mergeCell ref="EX10:EY10"/>
    <mergeCell ref="EB10:EC10"/>
    <mergeCell ref="ED10:EE10"/>
    <mergeCell ref="EF10:EG10"/>
    <mergeCell ref="EH10:EI10"/>
    <mergeCell ref="EJ10:EK10"/>
    <mergeCell ref="EL10:EM10"/>
    <mergeCell ref="DP10:DQ10"/>
    <mergeCell ref="DR10:DS10"/>
    <mergeCell ref="DT10:DU10"/>
    <mergeCell ref="DV10:DW10"/>
    <mergeCell ref="DX10:DY10"/>
    <mergeCell ref="DZ10:EA10"/>
    <mergeCell ref="DD10:DE10"/>
    <mergeCell ref="DF10:DG10"/>
    <mergeCell ref="DH10:DI10"/>
    <mergeCell ref="DJ10:DK10"/>
    <mergeCell ref="DL10:DM10"/>
    <mergeCell ref="DN10:DO10"/>
    <mergeCell ref="CR10:CS10"/>
    <mergeCell ref="CT10:CU10"/>
    <mergeCell ref="CV10:CW10"/>
    <mergeCell ref="CX10:CY10"/>
    <mergeCell ref="CZ10:DA10"/>
    <mergeCell ref="DB10:DC10"/>
    <mergeCell ref="CF10:CG10"/>
    <mergeCell ref="CH10:CI10"/>
    <mergeCell ref="CJ10:CK10"/>
    <mergeCell ref="CL10:CM10"/>
    <mergeCell ref="CN10:CO10"/>
    <mergeCell ref="CP10:CQ10"/>
    <mergeCell ref="L10:M10"/>
    <mergeCell ref="N10:O10"/>
    <mergeCell ref="P10:Q10"/>
    <mergeCell ref="R10:S10"/>
    <mergeCell ref="T10:U10"/>
    <mergeCell ref="V10:W10"/>
    <mergeCell ref="AV10:AW10"/>
    <mergeCell ref="AX10:AY10"/>
    <mergeCell ref="AZ10:BA10"/>
    <mergeCell ref="AJ10:AK10"/>
    <mergeCell ref="AL10:AM10"/>
    <mergeCell ref="AN10:AO10"/>
    <mergeCell ref="AP10:AQ10"/>
    <mergeCell ref="AR10:AS10"/>
    <mergeCell ref="AT10:AU10"/>
    <mergeCell ref="SV10:SW10"/>
    <mergeCell ref="ST11:SU11"/>
    <mergeCell ref="SV11:SW11"/>
    <mergeCell ref="X10:Y10"/>
    <mergeCell ref="Z10:AA10"/>
    <mergeCell ref="AB10:AC10"/>
    <mergeCell ref="AD10:AE10"/>
    <mergeCell ref="AF10:AG10"/>
    <mergeCell ref="AH10:AI10"/>
    <mergeCell ref="BB10:BC10"/>
    <mergeCell ref="BD10:BE10"/>
    <mergeCell ref="BF10:BG10"/>
    <mergeCell ref="BT10:BU10"/>
    <mergeCell ref="BV10:BW10"/>
    <mergeCell ref="BX10:BY10"/>
    <mergeCell ref="BZ10:CA10"/>
    <mergeCell ref="CB10:CC10"/>
    <mergeCell ref="CD10:CE10"/>
    <mergeCell ref="BH10:BI10"/>
    <mergeCell ref="BJ10:BK10"/>
    <mergeCell ref="BL10:BM10"/>
    <mergeCell ref="BN10:BO10"/>
    <mergeCell ref="BP10:BQ10"/>
    <mergeCell ref="BR10:BS10"/>
    <mergeCell ref="TT10:TU10"/>
    <mergeCell ref="TF11:TG11"/>
    <mergeCell ref="TH11:TI11"/>
    <mergeCell ref="TJ11:TK11"/>
    <mergeCell ref="TL11:TM11"/>
    <mergeCell ref="TN11:TO11"/>
    <mergeCell ref="TP11:TQ11"/>
    <mergeCell ref="TR11:TS11"/>
    <mergeCell ref="TT11:TU11"/>
    <mergeCell ref="TF10:TG10"/>
    <mergeCell ref="KB20:KU20"/>
    <mergeCell ref="KB9:KU9"/>
    <mergeCell ref="B21:B25"/>
    <mergeCell ref="TH10:TI10"/>
    <mergeCell ref="TJ10:TK10"/>
    <mergeCell ref="TL10:TM10"/>
    <mergeCell ref="TN10:TO10"/>
    <mergeCell ref="TP10:TQ10"/>
    <mergeCell ref="TR10:TS10"/>
    <mergeCell ref="SX10:SY10"/>
    <mergeCell ref="SZ10:TA10"/>
    <mergeCell ref="TB10:TC10"/>
    <mergeCell ref="TD10:TE10"/>
    <mergeCell ref="SX11:SY11"/>
    <mergeCell ref="SZ11:TA11"/>
    <mergeCell ref="TB11:TC11"/>
    <mergeCell ref="TD11:TE11"/>
    <mergeCell ref="B9:C9"/>
    <mergeCell ref="B10:C10"/>
    <mergeCell ref="D10:E10"/>
    <mergeCell ref="F10:G10"/>
    <mergeCell ref="H10:I10"/>
    <mergeCell ref="J10:K10"/>
    <mergeCell ref="ST10:SU10"/>
  </mergeCells>
  <conditionalFormatting sqref="D10">
    <cfRule type="expression" dxfId="7" priority="4">
      <formula>WEEKDAY(H12:H31,2)&gt;6</formula>
    </cfRule>
  </conditionalFormatting>
  <conditionalFormatting sqref="D10:UY10">
    <cfRule type="expression" dxfId="6" priority="1">
      <formula>WEEKDAY(D10:BM10,2)&gt;6</formula>
    </cfRule>
  </conditionalFormatting>
  <conditionalFormatting sqref="F10">
    <cfRule type="expression" dxfId="5" priority="5">
      <formula>WEEKDAY(H13:H31,2)&gt;6</formula>
    </cfRule>
  </conditionalFormatting>
  <conditionalFormatting sqref="H10">
    <cfRule type="expression" dxfId="4" priority="6">
      <formula>WEEKDAY(H10:H31,2)&gt;6</formula>
    </cfRule>
  </conditionalFormatting>
  <conditionalFormatting sqref="J10 L10 N10 P10 R10 T10 V10 X10 Z10 AB10 AD10 AF10 AH10 AJ10 AL10 AN10 AP10 AR10 AT10 AV10 AX10 AZ10 BB10 BD10 BF10 BH10 BJ10 BL10 BN10 BP10 BR10 BT10 BV10 BX10 BZ10 CB10 CD10 CF10 CH10 CJ10 CL10 CN10 CP10 CR10 CT10 CV10 CX10 CZ10 DB10 DD10 DF10 DH10 DJ10 DL10 DN10 DP10 DR10 DT10 DV10 DX10 DZ10 EB10 ED10 EF10 EH10 EJ10 EL10 EN10 EP10 ER10 ET10 EV10 EX10 EZ10 FB10 FD10 FF10 FH10 FJ10 FL10 FN10 FP10 FR10 FT10 FV10 FX10 FZ10 GB10 GD10 GF10 GH10 GJ10 GL10 GN10 GP10 GR10 GT10 GV10 GX10 GZ10 HB10 HD10 HF10 HH10 HJ10 HL10 HN10 HP10 HT10 HV10 HX10 HZ10 IB10 ID10 IF10 IH10 IJ10 IL10 IN10 IP10 IR10 IT10 IV10 IX10 IZ10 JB10 JD10 JF10 JH10 JJ10 JL10 JN10 JP10 JR10 JT10 JV10 JX10 JZ10 KB10 KD10 KF10 KH10 KJ10 KL10 KN10 KP10 KR10 KT10 KV10 KX10 KZ10 LB10 LD10 LF10 LH10 LJ10 LL10 LN10 LP10 LR10 LT10 LV10 LX10 LZ10 MB10 MD10 MF10 MH10 MJ10 ML10 MN10 MP10 MR10 MT10 MV10 MX10 MZ10 NB10 ND10 NF10 NH10 NJ10 NL10 NN10 NP10 NR10 NT10 NV10 NX10 NZ10 OB10 OD10 OF10 OH10 OJ10 OL10 ON10 OP10 OR10 OT10 OV10 OX10 OZ10 PB10 PD10 PF10 PH10 PJ10 PL10 PN10 PP10 PR10 PT10 PV10 PX10 PZ10 QB10 QD10 QF10 QH10 QJ10 QL10 QN10 QP10 QR10 QT10">
    <cfRule type="expression" dxfId="3" priority="7">
      <formula>WEEKDAY(H15:H31,2)&gt;6</formula>
    </cfRule>
  </conditionalFormatting>
  <conditionalFormatting sqref="HR10">
    <cfRule type="expression" dxfId="2" priority="8">
      <formula>WEEKDAY(HP18:HP31,2)&gt;6</formula>
    </cfRule>
  </conditionalFormatting>
  <conditionalFormatting sqref="QV10 QX10 QZ10 RB10 RD10 RF10 RH10 RJ10 RL10">
    <cfRule type="expression" dxfId="1" priority="2">
      <formula>WEEKDAY(QT15:QT29,2)&gt;6</formula>
    </cfRule>
  </conditionalFormatting>
  <conditionalFormatting sqref="RN10 RP10 RR10 RT10 RV10 RX10 RZ10 SB10 SD10 SF10 SH10 SJ10 SL10 SN10 SP10 SR10 ST10 SV10 SX10 SZ10 TB10 TD10 TF10 TH10 TJ10 TL10 TN10 TP10 TR10 TT10 TV10 UB10 TX10 UD10 TZ10 UF10 UH10 UJ10 UL10 UN10 UT10 UP10 UV10 UR10 UX10">
    <cfRule type="expression" dxfId="0" priority="3">
      <formula>WEEKDAY(RL15:RL28,2)&gt;6</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Analisis Sulfuros por Guardia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arturo de la cruz coaquira</dc:creator>
  <cp:lastModifiedBy>jorge arturo de la cruz coaquira</cp:lastModifiedBy>
  <dcterms:created xsi:type="dcterms:W3CDTF">2026-10-09T20:40:30Z</dcterms:created>
  <dcterms:modified xsi:type="dcterms:W3CDTF">2026-10-29T14:14:12Z</dcterms:modified>
</cp:coreProperties>
</file>